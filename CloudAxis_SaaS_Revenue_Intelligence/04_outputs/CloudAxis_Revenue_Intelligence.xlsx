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 Disaggregation" sheetId="2" state="visible" r:id="rId2"/>
    <sheet xmlns:r="http://schemas.openxmlformats.org/officeDocument/2006/relationships" name="MRR Waterfall" sheetId="3" state="visible" r:id="rId3"/>
    <sheet xmlns:r="http://schemas.openxmlformats.org/officeDocument/2006/relationships" name="NRR &amp; GRR" sheetId="4" state="visible" r:id="rId4"/>
    <sheet xmlns:r="http://schemas.openxmlformats.org/officeDocument/2006/relationships" name="Cohort Retention" sheetId="5" state="visible" r:id="rId5"/>
    <sheet xmlns:r="http://schemas.openxmlformats.org/officeDocument/2006/relationships" name="LTV &amp; CAC" sheetId="6" state="visible" r:id="rId6"/>
    <sheet xmlns:r="http://schemas.openxmlformats.org/officeDocument/2006/relationships" name="Billings vs Revenue" sheetId="7" state="visible" r:id="rId7"/>
    <sheet xmlns:r="http://schemas.openxmlformats.org/officeDocument/2006/relationships" name="Deferred Rev Roll-Fwd" sheetId="8" state="visible" r:id="rId8"/>
    <sheet xmlns:r="http://schemas.openxmlformats.org/officeDocument/2006/relationships" name="RPO Schedule" sheetId="9" state="visible" r:id="rId9"/>
    <sheet xmlns:r="http://schemas.openxmlformats.org/officeDocument/2006/relationships" name="Commission Asse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0 &quot;months&quot;"/>
    <numFmt numFmtId="166" formatCode="$#,##0"/>
    <numFmt numFmtId="167" formatCode="($#,##0)"/>
    <numFmt numFmtId="168" formatCode="0.0x"/>
    <numFmt numFmtId="169" formatCode="0.0"/>
    <numFmt numFmtId="170" formatCode="$#,##0;($#,##0);-"/>
    <numFmt numFmtId="171" formatCode="$#,##0;($#,##0)"/>
    <numFmt numFmtId="172" formatCode="($#,##0);$#,##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0000FF"/>
      <sz val="9"/>
    </font>
    <font>
      <name val="Arial"/>
      <b val="1"/>
      <color rgb="0027AE60"/>
      <sz val="9"/>
    </font>
    <font>
      <name val="Arial"/>
      <b val="1"/>
      <color rgb="00EB5757"/>
      <sz val="9"/>
    </font>
    <font>
      <name val="Arial"/>
      <b val="1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FFFFFF"/>
      <sz val="9"/>
    </font>
    <font>
      <name val="Arial"/>
      <sz val="9"/>
    </font>
    <font>
      <name val="Arial"/>
      <b val="1"/>
      <color rgb="00D97706"/>
      <sz val="9"/>
    </font>
    <font>
      <name val="Arial"/>
      <b val="1"/>
      <color rgb="00DC2626"/>
      <sz val="9"/>
    </font>
    <font>
      <name val="Arial"/>
      <b val="1"/>
      <color rgb="000D1117"/>
      <sz val="9"/>
    </font>
    <font>
      <name val="Arial"/>
      <i val="1"/>
      <color rgb="006B7280"/>
      <sz val="8"/>
    </font>
  </fonts>
  <fills count="13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2F80ED"/>
      </patternFill>
    </fill>
    <fill>
      <patternFill patternType="solid">
        <fgColor rgb="00F6F8FA"/>
      </patternFill>
    </fill>
    <fill>
      <patternFill patternType="solid">
        <fgColor rgb="00FFFFFF"/>
      </patternFill>
    </fill>
    <fill>
      <patternFill patternType="solid">
        <fgColor rgb="00E8EDF2"/>
      </patternFill>
    </fill>
    <fill>
      <patternFill patternType="solid">
        <fgColor rgb="0027AE60"/>
      </patternFill>
    </fill>
    <fill>
      <patternFill patternType="solid">
        <fgColor rgb="006FCF97"/>
      </patternFill>
    </fill>
    <fill>
      <patternFill patternType="solid">
        <fgColor rgb="00EB5757"/>
      </patternFill>
    </fill>
    <fill>
      <patternFill patternType="solid">
        <fgColor rgb="00F2C94C"/>
      </patternFill>
    </fill>
    <fill>
      <patternFill patternType="solid">
        <fgColor rgb="001E293B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bottom style="thin">
        <color rgb="00C0C8D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49" fontId="4" fillId="4" borderId="1" applyAlignment="1" pivotButton="0" quotePrefix="0" xfId="0">
      <alignment horizontal="right" vertical="center"/>
    </xf>
    <xf numFmtId="49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right" vertical="center"/>
    </xf>
    <xf numFmtId="167" fontId="3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7" fontId="3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/>
    </xf>
    <xf numFmtId="166" fontId="7" fillId="6" borderId="0" applyAlignment="1" pivotButton="0" quotePrefix="0" xfId="0">
      <alignment horizontal="right" vertical="center"/>
    </xf>
    <xf numFmtId="0" fontId="7" fillId="6" borderId="0" pivotButton="0" quotePrefix="0" xfId="0"/>
    <xf numFmtId="164" fontId="6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8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9" fontId="10" fillId="7" borderId="0" applyAlignment="1" pivotButton="0" quotePrefix="0" xfId="0">
      <alignment horizontal="center" vertical="center"/>
    </xf>
    <xf numFmtId="9" fontId="3" fillId="8" borderId="0" applyAlignment="1" pivotButton="0" quotePrefix="0" xfId="0">
      <alignment horizontal="center" vertical="center"/>
    </xf>
    <xf numFmtId="9" fontId="10" fillId="9" borderId="0" applyAlignment="1" pivotButton="0" quotePrefix="0" xfId="0">
      <alignment horizontal="center" vertical="center"/>
    </xf>
    <xf numFmtId="9" fontId="10" fillId="10" borderId="0" applyAlignment="1" pivotButton="0" quotePrefix="0" xfId="0">
      <alignment horizontal="center" vertical="center"/>
    </xf>
    <xf numFmtId="10" fontId="3" fillId="4" borderId="1" applyAlignment="1" pivotButton="0" quotePrefix="0" xfId="0">
      <alignment horizontal="right" vertical="center"/>
    </xf>
    <xf numFmtId="168" fontId="5" fillId="4" borderId="1" applyAlignment="1" pivotButton="0" quotePrefix="0" xfId="0">
      <alignment horizontal="right" vertical="center"/>
    </xf>
    <xf numFmtId="169" fontId="3" fillId="4" borderId="1" applyAlignment="1" pivotButton="0" quotePrefix="0" xfId="0">
      <alignment horizontal="right" vertical="center"/>
    </xf>
    <xf numFmtId="10" fontId="3" fillId="5" borderId="1" applyAlignment="1" pivotButton="0" quotePrefix="0" xfId="0">
      <alignment horizontal="right" vertical="center"/>
    </xf>
    <xf numFmtId="168" fontId="5" fillId="5" borderId="1" applyAlignment="1" pivotButton="0" quotePrefix="0" xfId="0">
      <alignment horizontal="right" vertical="center"/>
    </xf>
    <xf numFmtId="169" fontId="3" fillId="5" borderId="1" applyAlignment="1" pivotButton="0" quotePrefix="0" xfId="0">
      <alignment horizontal="right" vertical="center"/>
    </xf>
    <xf numFmtId="168" fontId="3" fillId="4" borderId="1" applyAlignment="1" pivotButton="0" quotePrefix="0" xfId="0">
      <alignment horizontal="right" vertical="center"/>
    </xf>
    <xf numFmtId="170" fontId="3" fillId="4" borderId="1" applyAlignment="1" pivotButton="0" quotePrefix="0" xfId="0">
      <alignment horizontal="right" vertical="center"/>
    </xf>
    <xf numFmtId="170" fontId="3" fillId="5" borderId="1" applyAlignment="1" pivotButton="0" quotePrefix="0" xfId="0">
      <alignment horizontal="right" vertical="center"/>
    </xf>
    <xf numFmtId="166" fontId="0" fillId="6" borderId="0" applyAlignment="1" pivotButton="0" quotePrefix="0" xfId="0">
      <alignment horizontal="right" vertical="center"/>
    </xf>
    <xf numFmtId="0" fontId="0" fillId="6" borderId="0" pivotButton="0" quotePrefix="0" xfId="0"/>
    <xf numFmtId="166" fontId="7" fillId="4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0" fontId="2" fillId="11" borderId="0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166" fontId="11" fillId="4" borderId="1" applyAlignment="1" pivotButton="0" quotePrefix="0" xfId="0">
      <alignment horizontal="right" vertical="center"/>
    </xf>
    <xf numFmtId="171" fontId="11" fillId="4" borderId="1" applyAlignment="1" pivotButton="0" quotePrefix="0" xfId="0">
      <alignment horizontal="right" vertical="center"/>
    </xf>
    <xf numFmtId="164" fontId="11" fillId="4" borderId="1" applyAlignment="1" pivotButton="0" quotePrefix="0" xfId="0">
      <alignment horizontal="right" vertical="center"/>
    </xf>
    <xf numFmtId="166" fontId="11" fillId="5" borderId="1" applyAlignment="1" pivotButton="0" quotePrefix="0" xfId="0">
      <alignment horizontal="right" vertical="center"/>
    </xf>
    <xf numFmtId="171" fontId="11" fillId="5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/>
    </xf>
    <xf numFmtId="166" fontId="7" fillId="6" borderId="0" applyAlignment="1" pivotButton="0" quotePrefix="0" xfId="0">
      <alignment horizontal="right"/>
    </xf>
    <xf numFmtId="164" fontId="7" fillId="6" borderId="0" applyAlignment="1" pivotButton="0" quotePrefix="0" xfId="0">
      <alignment horizontal="right"/>
    </xf>
    <xf numFmtId="0" fontId="12" fillId="12" borderId="0" applyAlignment="1" pivotButton="0" quotePrefix="0" xfId="0">
      <alignment horizontal="center"/>
    </xf>
    <xf numFmtId="0" fontId="13" fillId="12" borderId="0" applyAlignment="1" pivotButton="0" quotePrefix="0" xfId="0">
      <alignment horizontal="center"/>
    </xf>
    <xf numFmtId="0" fontId="14" fillId="12" borderId="0" applyAlignment="1" pivotButton="0" quotePrefix="0" xfId="0">
      <alignment horizontal="center"/>
    </xf>
    <xf numFmtId="0" fontId="15" fillId="0" borderId="0" pivotButton="0" quotePrefix="0" xfId="0"/>
    <xf numFmtId="172" fontId="3" fillId="4" borderId="1" applyAlignment="1" pivotButton="0" quotePrefix="0" xfId="0">
      <alignment horizontal="right" vertical="center"/>
    </xf>
    <xf numFmtId="172" fontId="3" fillId="5" borderId="1" applyAlignment="1" pivotButton="0" quotePrefix="0" xfId="0">
      <alignment horizontal="right" vertical="center"/>
    </xf>
    <xf numFmtId="172" fontId="7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MRR &amp; ARR Trend</a:t>
            </a:r>
          </a:p>
        </rich>
      </tx>
    </title>
    <plotArea>
      <lineChart>
        <grouping val="standard"/>
        <ser>
          <idx val="0"/>
          <order val="0"/>
          <tx>
            <strRef>
              <f>'MRR Waterfall'!H3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'MRR Waterfall'!$A$4:$A$27</f>
            </numRef>
          </cat>
          <val>
            <numRef>
              <f>'MRR Waterfall'!$H$4:$H$27</f>
            </numRef>
          </val>
        </ser>
        <ser>
          <idx val="1"/>
          <order val="1"/>
          <tx>
            <strRef>
              <f>'MRR Waterfall'!I3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'MRR Waterfall'!$A$4:$A$27</f>
            </numRef>
          </cat>
          <val>
            <numRef>
              <f>'MRR Waterfall'!$I$4:$I$27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NRR vs GRR — Rolling 12-Month</a:t>
            </a:r>
          </a:p>
        </rich>
      </tx>
    </title>
    <plotArea>
      <lineChart>
        <grouping val="standard"/>
        <ser>
          <idx val="0"/>
          <order val="0"/>
          <tx>
            <strRef>
              <f>'NRR &amp; GRR'!E3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'NRR &amp; GRR'!$A$4:$A$15</f>
            </numRef>
          </cat>
          <val>
            <numRef>
              <f>'NRR &amp; GRR'!$E$4:$E$15</f>
            </numRef>
          </val>
        </ser>
        <ser>
          <idx val="1"/>
          <order val="1"/>
          <tx>
            <strRef>
              <f>'NRR &amp; GRR'!F3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'NRR &amp; GRR'!$A$4:$A$15</f>
            </numRef>
          </cat>
          <val>
            <numRef>
              <f>'NRR &amp; GRR'!$F$4:$F$15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.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Retention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Billings vs Revenue — Monthly</a:t>
            </a:r>
          </a:p>
        </rich>
      </tx>
    </title>
    <plotArea>
      <lineChart>
        <grouping val="standard"/>
        <ser>
          <idx val="0"/>
          <order val="0"/>
          <tx>
            <strRef>
              <f>'Billings vs Revenue'!B3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'Billings vs Revenue'!$A$4:$A$27</f>
            </numRef>
          </cat>
          <val>
            <numRef>
              <f>'Billings vs Revenue'!$B$4:$B$27</f>
            </numRef>
          </val>
        </ser>
        <ser>
          <idx val="1"/>
          <order val="1"/>
          <tx>
            <strRef>
              <f>'Billings vs Revenue'!C3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'Billings vs Revenue'!$A$4:$A$27</f>
            </numRef>
          </cat>
          <val>
            <numRef>
              <f>'Billings vs Revenue'!$C$4:$C$27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18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36" customWidth="1" min="4" max="4"/>
  </cols>
  <sheetData>
    <row r="1" ht="28" customHeight="1">
      <c r="A1" s="1" t="inlineStr">
        <is>
          <t>CloudAxis Inc. — Revenue Intelligence Model  |  Assumptions</t>
        </is>
      </c>
    </row>
    <row r="3" ht="20" customHeight="1">
      <c r="A3" s="2" t="inlineStr">
        <is>
          <t>Category</t>
        </is>
      </c>
      <c r="B3" s="2" t="inlineStr">
        <is>
          <t>Assumption</t>
        </is>
      </c>
      <c r="C3" s="2" t="inlineStr">
        <is>
          <t>Value</t>
        </is>
      </c>
      <c r="D3" s="2" t="inlineStr">
        <is>
          <t>Notes / Source</t>
        </is>
      </c>
    </row>
    <row r="4" ht="16" customHeight="1">
      <c r="A4" s="3" t="inlineStr">
        <is>
          <t>Financial</t>
        </is>
      </c>
      <c r="B4" s="3" t="inlineStr">
        <is>
          <t>Gross Margin %</t>
        </is>
      </c>
      <c r="C4" s="4" t="n">
        <v>72</v>
      </c>
      <c r="D4" s="3" t="inlineStr"/>
    </row>
    <row r="5" ht="16" customHeight="1">
      <c r="A5" s="5" t="inlineStr">
        <is>
          <t>Financial</t>
        </is>
      </c>
      <c r="B5" s="5" t="inlineStr">
        <is>
          <t>S&amp;M as % of Revenue</t>
        </is>
      </c>
      <c r="C5" s="6" t="n">
        <v>25</v>
      </c>
      <c r="D5" s="5" t="inlineStr"/>
    </row>
    <row r="6" ht="16" customHeight="1">
      <c r="A6" s="3" t="inlineStr">
        <is>
          <t>Financial</t>
        </is>
      </c>
      <c r="B6" s="3" t="inlineStr">
        <is>
          <t>Data Window</t>
        </is>
      </c>
      <c r="C6" s="7" t="inlineStr">
        <is>
          <t>2023-01 → 2024-12</t>
        </is>
      </c>
      <c r="D6" s="3" t="inlineStr"/>
    </row>
    <row r="7" ht="16" customHeight="1">
      <c r="A7" s="5" t="inlineStr">
        <is>
          <t>ASC 606</t>
        </is>
      </c>
      <c r="B7" s="5" t="inlineStr">
        <is>
          <t>Impl Fee Treatment</t>
        </is>
      </c>
      <c r="C7" s="8" t="inlineStr">
        <is>
          <t>Not Distinct — Ratable</t>
        </is>
      </c>
      <c r="D7" s="5" t="inlineStr"/>
    </row>
    <row r="8" ht="16" customHeight="1">
      <c r="A8" s="3" t="inlineStr">
        <is>
          <t>ASC 606</t>
        </is>
      </c>
      <c r="B8" s="3" t="inlineStr">
        <is>
          <t>Upgrade Treatment</t>
        </is>
      </c>
      <c r="C8" s="7" t="inlineStr">
        <is>
          <t>Prospective</t>
        </is>
      </c>
      <c r="D8" s="3" t="inlineStr"/>
    </row>
    <row r="9" ht="16" customHeight="1">
      <c r="A9" s="5" t="inlineStr">
        <is>
          <t>ASC 606</t>
        </is>
      </c>
      <c r="B9" s="5" t="inlineStr">
        <is>
          <t>Downgrade Treatment</t>
        </is>
      </c>
      <c r="C9" s="8" t="inlineStr">
        <is>
          <t>Prospective</t>
        </is>
      </c>
      <c r="D9" s="5" t="inlineStr"/>
    </row>
    <row r="10" ht="16" customHeight="1">
      <c r="A10" s="3" t="inlineStr">
        <is>
          <t>ASC 606</t>
        </is>
      </c>
      <c r="B10" s="3" t="inlineStr">
        <is>
          <t>DP Variable Consid.</t>
        </is>
      </c>
      <c r="C10" s="7" t="inlineStr">
        <is>
          <t>Excluded from RPO (606-10-50-14)</t>
        </is>
      </c>
      <c r="D10" s="3" t="inlineStr"/>
    </row>
    <row r="11" ht="16" customHeight="1">
      <c r="A11" s="5" t="inlineStr">
        <is>
          <t>Commission</t>
        </is>
      </c>
      <c r="B11" s="5" t="inlineStr">
        <is>
          <t>SMB Expected Life</t>
        </is>
      </c>
      <c r="C11" s="9" t="n">
        <v>18</v>
      </c>
      <c r="D11" s="5" t="inlineStr"/>
    </row>
    <row r="12" ht="16" customHeight="1">
      <c r="A12" s="3" t="inlineStr">
        <is>
          <t>Commission</t>
        </is>
      </c>
      <c r="B12" s="3" t="inlineStr">
        <is>
          <t>Mid-Market Life</t>
        </is>
      </c>
      <c r="C12" s="10" t="n">
        <v>24</v>
      </c>
      <c r="D12" s="3" t="inlineStr"/>
    </row>
    <row r="13" ht="16" customHeight="1">
      <c r="A13" s="5" t="inlineStr">
        <is>
          <t>Commission</t>
        </is>
      </c>
      <c r="B13" s="5" t="inlineStr">
        <is>
          <t>Enterprise Life</t>
        </is>
      </c>
      <c r="C13" s="9" t="n">
        <v>36</v>
      </c>
      <c r="D13" s="5" t="inlineStr"/>
    </row>
    <row r="14" ht="16" customHeight="1">
      <c r="A14" s="3" t="inlineStr">
        <is>
          <t>Commission</t>
        </is>
      </c>
      <c r="B14" s="3" t="inlineStr">
        <is>
          <t>New Business Rate SMB</t>
        </is>
      </c>
      <c r="C14" s="4" t="n">
        <v>10</v>
      </c>
      <c r="D14" s="3" t="inlineStr"/>
    </row>
    <row r="15" ht="16" customHeight="1">
      <c r="A15" s="5" t="inlineStr">
        <is>
          <t>Commission</t>
        </is>
      </c>
      <c r="B15" s="5" t="inlineStr">
        <is>
          <t>New Business Rate MM</t>
        </is>
      </c>
      <c r="C15" s="6" t="n">
        <v>12</v>
      </c>
      <c r="D15" s="5" t="inlineStr"/>
    </row>
    <row r="16" ht="16" customHeight="1">
      <c r="A16" s="3" t="inlineStr">
        <is>
          <t>Commission</t>
        </is>
      </c>
      <c r="B16" s="3" t="inlineStr">
        <is>
          <t>New Business Rate ENT</t>
        </is>
      </c>
      <c r="C16" s="4" t="n">
        <v>15</v>
      </c>
      <c r="D16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6" customHeight="1">
      <c r="A1" s="1" t="inlineStr">
        <is>
          <t>Revenue Disaggregation  |  ASC 606-10-50-5  |  FY 2024 vs FY 2023</t>
        </is>
      </c>
    </row>
    <row r="3" ht="18" customHeight="1">
      <c r="A3" s="2" t="inlineStr">
        <is>
          <t>Dimension</t>
        </is>
      </c>
      <c r="B3" s="2" t="inlineStr">
        <is>
          <t>Category</t>
        </is>
      </c>
      <c r="C3" s="2" t="inlineStr">
        <is>
          <t>FY 2024</t>
        </is>
      </c>
      <c r="D3" s="2" t="inlineStr">
        <is>
          <t>FY 2023</t>
        </is>
      </c>
      <c r="E3" s="2" t="inlineStr">
        <is>
          <t>Change</t>
        </is>
      </c>
      <c r="F3" s="2" t="inlineStr">
        <is>
          <t>% Change</t>
        </is>
      </c>
    </row>
    <row r="4" ht="20" customHeight="1">
      <c r="A4" s="50" t="inlineStr">
        <is>
          <t>Product line</t>
        </is>
      </c>
    </row>
    <row r="5" ht="16" customHeight="1">
      <c r="A5" s="51" t="inlineStr"/>
      <c r="B5" s="52" t="inlineStr">
        <is>
          <t>Core (per-seat subscription)</t>
        </is>
      </c>
      <c r="C5" s="53" t="n">
        <v>1853437</v>
      </c>
      <c r="D5" s="53" t="n">
        <v>971121</v>
      </c>
      <c r="E5" s="54" t="n">
        <v>882316</v>
      </c>
      <c r="F5" s="55" t="n">
        <v>0.9085541348606404</v>
      </c>
    </row>
    <row r="6" ht="16" customHeight="1">
      <c r="A6" s="51" t="inlineStr"/>
      <c r="B6" s="51" t="inlineStr">
        <is>
          <t>Analytics (flat-rate subscription)</t>
        </is>
      </c>
      <c r="C6" s="56" t="n">
        <v>273589</v>
      </c>
      <c r="D6" s="56" t="n">
        <v>138817</v>
      </c>
      <c r="E6" s="57" t="n">
        <v>134772</v>
      </c>
      <c r="F6" s="58" t="n">
        <v>0.9708609176109555</v>
      </c>
    </row>
    <row r="7" ht="16" customHeight="1">
      <c r="A7" s="51" t="inlineStr"/>
      <c r="B7" s="52" t="inlineStr">
        <is>
          <t>DataPipeline (usage-based)</t>
        </is>
      </c>
      <c r="C7" s="53" t="n">
        <v>190013</v>
      </c>
      <c r="D7" s="53" t="n">
        <v>115954</v>
      </c>
      <c r="E7" s="54" t="n">
        <v>74059</v>
      </c>
      <c r="F7" s="55" t="n">
        <v>0.6386929299549822</v>
      </c>
    </row>
    <row r="8" ht="17" customHeight="1">
      <c r="A8" s="47" t="n"/>
      <c r="B8" s="59" t="inlineStr">
        <is>
          <t>Total revenue</t>
        </is>
      </c>
      <c r="C8" s="60" t="n">
        <v>2317039</v>
      </c>
      <c r="D8" s="60" t="n">
        <v>1225892</v>
      </c>
      <c r="E8" s="60" t="n">
        <v>1091147</v>
      </c>
      <c r="F8" s="61" t="n">
        <v>0.8901</v>
      </c>
    </row>
    <row r="9"/>
    <row r="10" ht="20" customHeight="1">
      <c r="A10" s="50" t="inlineStr">
        <is>
          <t>Customer segment</t>
        </is>
      </c>
    </row>
    <row r="11" ht="16" customHeight="1">
      <c r="A11" s="51" t="inlineStr"/>
      <c r="B11" s="52" t="inlineStr">
        <is>
          <t>Enterprise</t>
        </is>
      </c>
      <c r="C11" s="53" t="n">
        <v>1145711</v>
      </c>
      <c r="D11" s="53" t="n">
        <v>486527</v>
      </c>
      <c r="E11" s="54" t="n">
        <v>659184</v>
      </c>
      <c r="F11" s="55" t="n">
        <v>1.354876502229064</v>
      </c>
    </row>
    <row r="12" ht="16" customHeight="1">
      <c r="A12" s="51" t="inlineStr"/>
      <c r="B12" s="51" t="inlineStr">
        <is>
          <t>Mid-Market</t>
        </is>
      </c>
      <c r="C12" s="56" t="n">
        <v>758173</v>
      </c>
      <c r="D12" s="56" t="n">
        <v>416227</v>
      </c>
      <c r="E12" s="57" t="n">
        <v>341946</v>
      </c>
      <c r="F12" s="58" t="n">
        <v>0.8215372861443396</v>
      </c>
    </row>
    <row r="13" ht="16" customHeight="1">
      <c r="A13" s="51" t="inlineStr"/>
      <c r="B13" s="52" t="inlineStr">
        <is>
          <t>SMB</t>
        </is>
      </c>
      <c r="C13" s="53" t="n">
        <v>413156</v>
      </c>
      <c r="D13" s="53" t="n">
        <v>323138</v>
      </c>
      <c r="E13" s="54" t="n">
        <v>90018</v>
      </c>
      <c r="F13" s="55" t="n">
        <v>0.2785744790151576</v>
      </c>
    </row>
    <row r="14" ht="17" customHeight="1">
      <c r="A14" s="47" t="n"/>
      <c r="B14" s="59" t="inlineStr">
        <is>
          <t>Total revenue</t>
        </is>
      </c>
      <c r="C14" s="60" t="n">
        <v>2317040</v>
      </c>
      <c r="D14" s="60" t="n">
        <v>1225892</v>
      </c>
      <c r="E14" s="60" t="n">
        <v>1091148</v>
      </c>
      <c r="F14" s="61" t="n">
        <v>0.8901</v>
      </c>
    </row>
    <row r="15"/>
    <row r="16" ht="20" customHeight="1">
      <c r="A16" s="50" t="inlineStr">
        <is>
          <t>Billing arrangement</t>
        </is>
      </c>
    </row>
    <row r="17" ht="16" customHeight="1">
      <c r="A17" s="51" t="inlineStr"/>
      <c r="B17" s="52" t="inlineStr">
        <is>
          <t>Annual — upfront billing</t>
        </is>
      </c>
      <c r="C17" s="53" t="n">
        <v>1012617</v>
      </c>
      <c r="D17" s="53" t="n">
        <v>456056</v>
      </c>
      <c r="E17" s="54" t="n">
        <v>556561</v>
      </c>
      <c r="F17" s="55" t="n">
        <v>1.220378637711158</v>
      </c>
    </row>
    <row r="18" ht="16" customHeight="1">
      <c r="A18" s="51" t="inlineStr"/>
      <c r="B18" s="51" t="inlineStr">
        <is>
          <t>Annual — quarterly billing</t>
        </is>
      </c>
      <c r="C18" s="56" t="n">
        <v>432753</v>
      </c>
      <c r="D18" s="56" t="n">
        <v>224548</v>
      </c>
      <c r="E18" s="57" t="n">
        <v>208205</v>
      </c>
      <c r="F18" s="58" t="n">
        <v>0.9272182339633397</v>
      </c>
    </row>
    <row r="19" ht="16" customHeight="1">
      <c r="A19" s="51" t="inlineStr"/>
      <c r="B19" s="52" t="inlineStr">
        <is>
          <t>Monthly billing</t>
        </is>
      </c>
      <c r="C19" s="53" t="n">
        <v>871670</v>
      </c>
      <c r="D19" s="53" t="n">
        <v>545289</v>
      </c>
      <c r="E19" s="54" t="n">
        <v>326381</v>
      </c>
      <c r="F19" s="55" t="n">
        <v>0.5985468256282448</v>
      </c>
    </row>
    <row r="20" ht="17" customHeight="1">
      <c r="A20" s="47" t="n"/>
      <c r="B20" s="59" t="inlineStr">
        <is>
          <t>Total revenue</t>
        </is>
      </c>
      <c r="C20" s="60" t="n">
        <v>2317040</v>
      </c>
      <c r="D20" s="60" t="n">
        <v>1225893</v>
      </c>
      <c r="E20" s="60" t="n">
        <v>1091147</v>
      </c>
      <c r="F20" s="61" t="n">
        <v>0.8901</v>
      </c>
    </row>
    <row r="21"/>
    <row r="22" ht="20" customHeight="1">
      <c r="A22" s="50" t="inlineStr">
        <is>
          <t>Geography</t>
        </is>
      </c>
    </row>
    <row r="23" ht="16" customHeight="1">
      <c r="A23" s="51" t="inlineStr"/>
      <c r="B23" s="52" t="inlineStr">
        <is>
          <t>North America</t>
        </is>
      </c>
      <c r="C23" s="53" t="n">
        <v>1335311</v>
      </c>
      <c r="D23" s="53" t="n">
        <v>663777</v>
      </c>
      <c r="E23" s="54" t="n">
        <v>671534</v>
      </c>
      <c r="F23" s="55" t="n">
        <v>1.011686153632922</v>
      </c>
    </row>
    <row r="24" ht="16" customHeight="1">
      <c r="A24" s="51" t="inlineStr"/>
      <c r="B24" s="51" t="inlineStr">
        <is>
          <t>EMEA</t>
        </is>
      </c>
      <c r="C24" s="56" t="n">
        <v>459836</v>
      </c>
      <c r="D24" s="56" t="n">
        <v>279143</v>
      </c>
      <c r="E24" s="57" t="n">
        <v>180693</v>
      </c>
      <c r="F24" s="58" t="n">
        <v>0.647313384179435</v>
      </c>
    </row>
    <row r="25" ht="16" customHeight="1">
      <c r="A25" s="51" t="inlineStr"/>
      <c r="B25" s="52" t="inlineStr">
        <is>
          <t>APAC</t>
        </is>
      </c>
      <c r="C25" s="53" t="n">
        <v>435199</v>
      </c>
      <c r="D25" s="53" t="n">
        <v>212454</v>
      </c>
      <c r="E25" s="54" t="n">
        <v>222745</v>
      </c>
      <c r="F25" s="55" t="n">
        <v>1.048438720852514</v>
      </c>
    </row>
    <row r="26" ht="16" customHeight="1">
      <c r="A26" s="51" t="inlineStr"/>
      <c r="B26" s="51" t="inlineStr">
        <is>
          <t>LATAM</t>
        </is>
      </c>
      <c r="C26" s="56" t="n">
        <v>86693</v>
      </c>
      <c r="D26" s="56" t="n">
        <v>70518</v>
      </c>
      <c r="E26" s="57" t="n">
        <v>16175</v>
      </c>
      <c r="F26" s="58" t="n">
        <v>0.2293740605235543</v>
      </c>
    </row>
    <row r="27" ht="17" customHeight="1">
      <c r="A27" s="47" t="n"/>
      <c r="B27" s="59" t="inlineStr">
        <is>
          <t>Total revenue</t>
        </is>
      </c>
      <c r="C27" s="60" t="n">
        <v>2317039</v>
      </c>
      <c r="D27" s="60" t="n">
        <v>1225892</v>
      </c>
      <c r="E27" s="60" t="n">
        <v>1091147</v>
      </c>
      <c r="F27" s="61" t="n">
        <v>0.8901</v>
      </c>
    </row>
    <row r="28"/>
    <row r="29"/>
    <row r="30"/>
    <row r="31"/>
    <row r="32"/>
    <row r="33"/>
    <row r="34"/>
    <row r="35"/>
  </sheetData>
  <mergeCells count="5">
    <mergeCell ref="A16:F16"/>
    <mergeCell ref="A10:F10"/>
    <mergeCell ref="A1:F1"/>
    <mergeCell ref="A22:F22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3" customWidth="1" min="9" max="9"/>
    <col width="10" customWidth="1" min="10" max="10"/>
  </cols>
  <sheetData>
    <row r="1" ht="28" customHeight="1">
      <c r="A1" s="1" t="inlineStr">
        <is>
          <t>MRR Movement Waterfall  |  New · Expansion · Contraction · Churn</t>
        </is>
      </c>
    </row>
    <row r="3" ht="20" customHeight="1">
      <c r="A3" s="2" t="inlineStr">
        <is>
          <t>Period</t>
        </is>
      </c>
      <c r="B3" s="2" t="inlineStr">
        <is>
          <t>New MRR</t>
        </is>
      </c>
      <c r="C3" s="2" t="inlineStr">
        <is>
          <t>Expansion</t>
        </is>
      </c>
      <c r="D3" s="2" t="inlineStr">
        <is>
          <t>Contraction</t>
        </is>
      </c>
      <c r="E3" s="2" t="inlineStr">
        <is>
          <t>Churn</t>
        </is>
      </c>
      <c r="F3" s="2" t="inlineStr">
        <is>
          <t>Reactivation</t>
        </is>
      </c>
      <c r="G3" s="2" t="inlineStr">
        <is>
          <t>Net New MRR</t>
        </is>
      </c>
      <c r="H3" s="2" t="inlineStr">
        <is>
          <t>Total MRR</t>
        </is>
      </c>
      <c r="I3" s="2" t="inlineStr">
        <is>
          <t>ARR</t>
        </is>
      </c>
      <c r="J3" s="2" t="inlineStr">
        <is>
          <t>Active Custs</t>
        </is>
      </c>
    </row>
    <row r="4" ht="16" customHeight="1">
      <c r="A4" s="3" t="inlineStr">
        <is>
          <t>2023-01</t>
        </is>
      </c>
      <c r="B4" s="11" t="n">
        <v>16397.63</v>
      </c>
      <c r="C4" s="11" t="n">
        <v>0</v>
      </c>
      <c r="D4" s="12" t="n">
        <v>0</v>
      </c>
      <c r="E4" s="12" t="n">
        <v>0</v>
      </c>
      <c r="F4" s="11" t="n">
        <v>0</v>
      </c>
      <c r="G4" s="13" t="n">
        <v>16397.63</v>
      </c>
      <c r="H4" s="11" t="n">
        <v>16397.63</v>
      </c>
      <c r="I4" s="11" t="n">
        <v>196771.56</v>
      </c>
      <c r="J4" s="14" t="n">
        <v>4</v>
      </c>
    </row>
    <row r="5" ht="16" customHeight="1">
      <c r="A5" s="5" t="inlineStr">
        <is>
          <t>2023-02</t>
        </is>
      </c>
      <c r="B5" s="15" t="n">
        <v>10212.37</v>
      </c>
      <c r="C5" s="15" t="n">
        <v>0</v>
      </c>
      <c r="D5" s="16" t="n">
        <v>0</v>
      </c>
      <c r="E5" s="16" t="n">
        <v>0</v>
      </c>
      <c r="F5" s="15" t="n">
        <v>0</v>
      </c>
      <c r="G5" s="17" t="n">
        <v>10212.37</v>
      </c>
      <c r="H5" s="15" t="n">
        <v>26610</v>
      </c>
      <c r="I5" s="15" t="n">
        <v>319320</v>
      </c>
      <c r="J5" s="18" t="n">
        <v>6</v>
      </c>
    </row>
    <row r="6" ht="16" customHeight="1">
      <c r="A6" s="3" t="inlineStr">
        <is>
          <t>2023-03</t>
        </is>
      </c>
      <c r="B6" s="11" t="n">
        <v>13705.27</v>
      </c>
      <c r="C6" s="11" t="n">
        <v>0</v>
      </c>
      <c r="D6" s="12" t="n">
        <v>0</v>
      </c>
      <c r="E6" s="12" t="n">
        <v>0</v>
      </c>
      <c r="F6" s="11" t="n">
        <v>0</v>
      </c>
      <c r="G6" s="13" t="n">
        <v>13705.27</v>
      </c>
      <c r="H6" s="11" t="n">
        <v>40447.96</v>
      </c>
      <c r="I6" s="11" t="n">
        <v>485375.52</v>
      </c>
      <c r="J6" s="14" t="n">
        <v>10</v>
      </c>
    </row>
    <row r="7" ht="16" customHeight="1">
      <c r="A7" s="5" t="inlineStr">
        <is>
          <t>2023-04</t>
        </is>
      </c>
      <c r="B7" s="15" t="n">
        <v>31028.77</v>
      </c>
      <c r="C7" s="15" t="n">
        <v>0</v>
      </c>
      <c r="D7" s="16" t="n">
        <v>0</v>
      </c>
      <c r="E7" s="16" t="n">
        <v>-644.14</v>
      </c>
      <c r="F7" s="15" t="n">
        <v>0</v>
      </c>
      <c r="G7" s="17" t="n">
        <v>30384.63</v>
      </c>
      <c r="H7" s="15" t="n">
        <v>71373.92</v>
      </c>
      <c r="I7" s="15" t="n">
        <v>856487.04</v>
      </c>
      <c r="J7" s="18" t="n">
        <v>16</v>
      </c>
    </row>
    <row r="8" ht="16" customHeight="1">
      <c r="A8" s="3" t="inlineStr">
        <is>
          <t>2023-05</t>
        </is>
      </c>
      <c r="B8" s="11" t="n">
        <v>6346.31</v>
      </c>
      <c r="C8" s="11" t="n">
        <v>515.7</v>
      </c>
      <c r="D8" s="12" t="n">
        <v>0</v>
      </c>
      <c r="E8" s="12" t="n">
        <v>0</v>
      </c>
      <c r="F8" s="11" t="n">
        <v>0</v>
      </c>
      <c r="G8" s="13" t="n">
        <v>6862.01</v>
      </c>
      <c r="H8" s="11" t="n">
        <v>77621.57000000001</v>
      </c>
      <c r="I8" s="11" t="n">
        <v>931458.84</v>
      </c>
      <c r="J8" s="14" t="n">
        <v>17</v>
      </c>
    </row>
    <row r="9" ht="16" customHeight="1">
      <c r="A9" s="5" t="inlineStr">
        <is>
          <t>2023-06</t>
        </is>
      </c>
      <c r="B9" s="15" t="n">
        <v>40049.68</v>
      </c>
      <c r="C9" s="15" t="n">
        <v>0</v>
      </c>
      <c r="D9" s="16" t="n">
        <v>0</v>
      </c>
      <c r="E9" s="16" t="n">
        <v>0</v>
      </c>
      <c r="F9" s="15" t="n">
        <v>0</v>
      </c>
      <c r="G9" s="17" t="n">
        <v>40049.68</v>
      </c>
      <c r="H9" s="15" t="n">
        <v>117650.87</v>
      </c>
      <c r="I9" s="15" t="n">
        <v>1411810.44</v>
      </c>
      <c r="J9" s="18" t="n">
        <v>24</v>
      </c>
    </row>
    <row r="10" ht="16" customHeight="1">
      <c r="A10" s="3" t="inlineStr">
        <is>
          <t>2023-07</t>
        </is>
      </c>
      <c r="B10" s="11" t="n">
        <v>7907.27</v>
      </c>
      <c r="C10" s="11" t="n">
        <v>0</v>
      </c>
      <c r="D10" s="12" t="n">
        <v>0</v>
      </c>
      <c r="E10" s="12" t="n">
        <v>0</v>
      </c>
      <c r="F10" s="11" t="n">
        <v>0</v>
      </c>
      <c r="G10" s="13" t="n">
        <v>7907.27</v>
      </c>
      <c r="H10" s="11" t="n">
        <v>125842.29</v>
      </c>
      <c r="I10" s="11" t="n">
        <v>1510107.48</v>
      </c>
      <c r="J10" s="14" t="n">
        <v>26</v>
      </c>
    </row>
    <row r="11" ht="16" customHeight="1">
      <c r="A11" s="5" t="inlineStr">
        <is>
          <t>2023-08</t>
        </is>
      </c>
      <c r="B11" s="15" t="n">
        <v>17641.51</v>
      </c>
      <c r="C11" s="15" t="n">
        <v>5523.95</v>
      </c>
      <c r="D11" s="16" t="n">
        <v>0</v>
      </c>
      <c r="E11" s="16" t="n">
        <v>0</v>
      </c>
      <c r="F11" s="15" t="n">
        <v>0</v>
      </c>
      <c r="G11" s="17" t="n">
        <v>23165.46</v>
      </c>
      <c r="H11" s="15" t="n">
        <v>149023.45</v>
      </c>
      <c r="I11" s="15" t="n">
        <v>1788281.4</v>
      </c>
      <c r="J11" s="18" t="n">
        <v>31</v>
      </c>
    </row>
    <row r="12" ht="16" customHeight="1">
      <c r="A12" s="3" t="inlineStr">
        <is>
          <t>2023-09</t>
        </is>
      </c>
      <c r="B12" s="11" t="n">
        <v>2773.2</v>
      </c>
      <c r="C12" s="11" t="n">
        <v>0</v>
      </c>
      <c r="D12" s="12" t="n">
        <v>0</v>
      </c>
      <c r="E12" s="12" t="n">
        <v>0</v>
      </c>
      <c r="F12" s="11" t="n">
        <v>0</v>
      </c>
      <c r="G12" s="13" t="n">
        <v>2773.2</v>
      </c>
      <c r="H12" s="11" t="n">
        <v>150099.05</v>
      </c>
      <c r="I12" s="11" t="n">
        <v>1801188.6</v>
      </c>
      <c r="J12" s="14" t="n">
        <v>33</v>
      </c>
    </row>
    <row r="13" ht="16" customHeight="1">
      <c r="A13" s="5" t="inlineStr">
        <is>
          <t>2023-10</t>
        </is>
      </c>
      <c r="B13" s="15" t="n">
        <v>7015.96</v>
      </c>
      <c r="C13" s="15" t="n">
        <v>3304.97</v>
      </c>
      <c r="D13" s="16" t="n">
        <v>-142.12</v>
      </c>
      <c r="E13" s="16" t="n">
        <v>0</v>
      </c>
      <c r="F13" s="15" t="n">
        <v>0</v>
      </c>
      <c r="G13" s="17" t="n">
        <v>10178.81</v>
      </c>
      <c r="H13" s="15" t="n">
        <v>160918.35</v>
      </c>
      <c r="I13" s="15" t="n">
        <v>1931020.2</v>
      </c>
      <c r="J13" s="18" t="n">
        <v>35</v>
      </c>
    </row>
    <row r="14" ht="16" customHeight="1">
      <c r="A14" s="3" t="inlineStr">
        <is>
          <t>2023-11</t>
        </is>
      </c>
      <c r="B14" s="11" t="n">
        <v>9856.440000000001</v>
      </c>
      <c r="C14" s="11" t="n">
        <v>2438.62</v>
      </c>
      <c r="D14" s="12" t="n">
        <v>0</v>
      </c>
      <c r="E14" s="12" t="n">
        <v>0</v>
      </c>
      <c r="F14" s="11" t="n">
        <v>0</v>
      </c>
      <c r="G14" s="13" t="n">
        <v>12295.06</v>
      </c>
      <c r="H14" s="11" t="n">
        <v>173378.06</v>
      </c>
      <c r="I14" s="11" t="n">
        <v>2080536.72</v>
      </c>
      <c r="J14" s="14" t="n">
        <v>37</v>
      </c>
    </row>
    <row r="15" ht="16" customHeight="1">
      <c r="A15" s="5" t="inlineStr">
        <is>
          <t>2023-12</t>
        </is>
      </c>
      <c r="B15" s="15" t="n">
        <v>2948.71</v>
      </c>
      <c r="C15" s="15" t="n">
        <v>0</v>
      </c>
      <c r="D15" s="16" t="n">
        <v>0</v>
      </c>
      <c r="E15" s="16" t="n">
        <v>-5714.46</v>
      </c>
      <c r="F15" s="15" t="n">
        <v>0</v>
      </c>
      <c r="G15" s="19" t="n">
        <v>-2765.75</v>
      </c>
      <c r="H15" s="15" t="n">
        <v>177568.37</v>
      </c>
      <c r="I15" s="15" t="n">
        <v>2130820.44</v>
      </c>
      <c r="J15" s="18" t="n">
        <v>39</v>
      </c>
    </row>
    <row r="16" ht="16" customHeight="1">
      <c r="A16" s="3" t="inlineStr">
        <is>
          <t>2024-01</t>
        </is>
      </c>
      <c r="B16" s="11" t="n">
        <v>17217.7</v>
      </c>
      <c r="C16" s="11" t="n">
        <v>1034.14</v>
      </c>
      <c r="D16" s="12" t="n">
        <v>0</v>
      </c>
      <c r="E16" s="12" t="n">
        <v>0</v>
      </c>
      <c r="F16" s="11" t="n">
        <v>0</v>
      </c>
      <c r="G16" s="13" t="n">
        <v>18251.84</v>
      </c>
      <c r="H16" s="11" t="n">
        <v>189599.91</v>
      </c>
      <c r="I16" s="11" t="n">
        <v>2275198.92</v>
      </c>
      <c r="J16" s="14" t="n">
        <v>40</v>
      </c>
    </row>
    <row r="17" ht="16" customHeight="1">
      <c r="A17" s="5" t="inlineStr">
        <is>
          <t>2024-02</t>
        </is>
      </c>
      <c r="B17" s="15" t="n">
        <v>20290.47</v>
      </c>
      <c r="C17" s="15" t="n">
        <v>0</v>
      </c>
      <c r="D17" s="16" t="n">
        <v>0</v>
      </c>
      <c r="E17" s="16" t="n">
        <v>-5595.93</v>
      </c>
      <c r="F17" s="15" t="n">
        <v>0</v>
      </c>
      <c r="G17" s="17" t="n">
        <v>14694.54</v>
      </c>
      <c r="H17" s="15" t="n">
        <v>210163.63</v>
      </c>
      <c r="I17" s="15" t="n">
        <v>2521963.56</v>
      </c>
      <c r="J17" s="18" t="n">
        <v>43</v>
      </c>
    </row>
    <row r="18" ht="16" customHeight="1">
      <c r="A18" s="3" t="inlineStr">
        <is>
          <t>2024-03</t>
        </is>
      </c>
      <c r="B18" s="11" t="n">
        <v>4197.25</v>
      </c>
      <c r="C18" s="11" t="n">
        <v>1353.19</v>
      </c>
      <c r="D18" s="12" t="n">
        <v>-152.77</v>
      </c>
      <c r="E18" s="12" t="n">
        <v>0</v>
      </c>
      <c r="F18" s="11" t="n">
        <v>0</v>
      </c>
      <c r="G18" s="13" t="n">
        <v>5397.67</v>
      </c>
      <c r="H18" s="11" t="n">
        <v>208914.11</v>
      </c>
      <c r="I18" s="11" t="n">
        <v>2506969.32</v>
      </c>
      <c r="J18" s="14" t="n">
        <v>44</v>
      </c>
    </row>
    <row r="19" ht="16" customHeight="1">
      <c r="A19" s="5" t="inlineStr">
        <is>
          <t>2024-04</t>
        </is>
      </c>
      <c r="B19" s="15" t="n">
        <v>4177.05</v>
      </c>
      <c r="C19" s="15" t="n">
        <v>445.31</v>
      </c>
      <c r="D19" s="16" t="n">
        <v>0</v>
      </c>
      <c r="E19" s="16" t="n">
        <v>-2912.53</v>
      </c>
      <c r="F19" s="15" t="n">
        <v>2458.08</v>
      </c>
      <c r="G19" s="17" t="n">
        <v>4167.91</v>
      </c>
      <c r="H19" s="15" t="n">
        <v>214468.17</v>
      </c>
      <c r="I19" s="15" t="n">
        <v>2573618.04</v>
      </c>
      <c r="J19" s="18" t="n">
        <v>46</v>
      </c>
    </row>
    <row r="20" ht="16" customHeight="1">
      <c r="A20" s="3" t="inlineStr">
        <is>
          <t>2024-05</t>
        </is>
      </c>
      <c r="B20" s="11" t="n">
        <v>13347.91</v>
      </c>
      <c r="C20" s="11" t="n">
        <v>0</v>
      </c>
      <c r="D20" s="12" t="n">
        <v>-1358.13</v>
      </c>
      <c r="E20" s="12" t="n">
        <v>-13410.93</v>
      </c>
      <c r="F20" s="11" t="n">
        <v>0</v>
      </c>
      <c r="G20" s="20" t="n">
        <v>-1421.15</v>
      </c>
      <c r="H20" s="11" t="n">
        <v>225351.86</v>
      </c>
      <c r="I20" s="11" t="n">
        <v>2704222.32</v>
      </c>
      <c r="J20" s="14" t="n">
        <v>47</v>
      </c>
    </row>
    <row r="21" ht="16" customHeight="1">
      <c r="A21" s="5" t="inlineStr">
        <is>
          <t>2024-06</t>
        </is>
      </c>
      <c r="B21" s="15" t="n">
        <v>0</v>
      </c>
      <c r="C21" s="15" t="n">
        <v>728.04</v>
      </c>
      <c r="D21" s="16" t="n">
        <v>0</v>
      </c>
      <c r="E21" s="16" t="n">
        <v>-12540.42</v>
      </c>
      <c r="F21" s="15" t="n">
        <v>0</v>
      </c>
      <c r="G21" s="19" t="n">
        <v>-11812.38</v>
      </c>
      <c r="H21" s="15" t="n">
        <v>211835.04</v>
      </c>
      <c r="I21" s="15" t="n">
        <v>2542020.48</v>
      </c>
      <c r="J21" s="18" t="n">
        <v>46</v>
      </c>
    </row>
    <row r="22" ht="16" customHeight="1">
      <c r="A22" s="3" t="inlineStr">
        <is>
          <t>2024-07</t>
        </is>
      </c>
      <c r="B22" s="11" t="n">
        <v>0</v>
      </c>
      <c r="C22" s="11" t="n">
        <v>1551.44</v>
      </c>
      <c r="D22" s="12" t="n">
        <v>0</v>
      </c>
      <c r="E22" s="12" t="n">
        <v>0</v>
      </c>
      <c r="F22" s="11" t="n">
        <v>0</v>
      </c>
      <c r="G22" s="13" t="n">
        <v>1551.44</v>
      </c>
      <c r="H22" s="11" t="n">
        <v>201264.92</v>
      </c>
      <c r="I22" s="11" t="n">
        <v>2415179.04</v>
      </c>
      <c r="J22" s="14" t="n">
        <v>43</v>
      </c>
    </row>
    <row r="23" ht="16" customHeight="1">
      <c r="A23" s="5" t="inlineStr">
        <is>
          <t>2024-08</t>
        </is>
      </c>
      <c r="B23" s="15" t="n">
        <v>0</v>
      </c>
      <c r="C23" s="15" t="n">
        <v>0</v>
      </c>
      <c r="D23" s="16" t="n">
        <v>0</v>
      </c>
      <c r="E23" s="16" t="n">
        <v>-1251.36</v>
      </c>
      <c r="F23" s="15" t="n">
        <v>0</v>
      </c>
      <c r="G23" s="19" t="n">
        <v>-1251.36</v>
      </c>
      <c r="H23" s="15" t="n">
        <v>201071.14</v>
      </c>
      <c r="I23" s="15" t="n">
        <v>2412853.68</v>
      </c>
      <c r="J23" s="18" t="n">
        <v>43</v>
      </c>
    </row>
    <row r="24" ht="16" customHeight="1">
      <c r="A24" s="3" t="inlineStr">
        <is>
          <t>2024-09</t>
        </is>
      </c>
      <c r="B24" s="11" t="n">
        <v>0</v>
      </c>
      <c r="C24" s="11" t="n">
        <v>0</v>
      </c>
      <c r="D24" s="12" t="n">
        <v>0</v>
      </c>
      <c r="E24" s="12" t="n">
        <v>-2124.99</v>
      </c>
      <c r="F24" s="11" t="n">
        <v>0</v>
      </c>
      <c r="G24" s="20" t="n">
        <v>-2124.99</v>
      </c>
      <c r="H24" s="11" t="n">
        <v>199149.42</v>
      </c>
      <c r="I24" s="11" t="n">
        <v>2389793.04</v>
      </c>
      <c r="J24" s="14" t="n">
        <v>42</v>
      </c>
    </row>
    <row r="25" ht="16" customHeight="1">
      <c r="A25" s="5" t="inlineStr">
        <is>
          <t>2024-10</t>
        </is>
      </c>
      <c r="B25" s="15" t="n">
        <v>0</v>
      </c>
      <c r="C25" s="15" t="n">
        <v>0</v>
      </c>
      <c r="D25" s="16" t="n">
        <v>0</v>
      </c>
      <c r="E25" s="16" t="n">
        <v>0</v>
      </c>
      <c r="F25" s="15" t="n">
        <v>0</v>
      </c>
      <c r="G25" s="15" t="n">
        <v>0</v>
      </c>
      <c r="H25" s="15" t="n">
        <v>198581.08</v>
      </c>
      <c r="I25" s="15" t="n">
        <v>2382972.96</v>
      </c>
      <c r="J25" s="18" t="n">
        <v>41</v>
      </c>
    </row>
    <row r="26" ht="16" customHeight="1">
      <c r="A26" s="3" t="inlineStr">
        <is>
          <t>2024-11</t>
        </is>
      </c>
      <c r="B26" s="11" t="n">
        <v>0</v>
      </c>
      <c r="C26" s="11" t="n">
        <v>0</v>
      </c>
      <c r="D26" s="12" t="n">
        <v>-478.94</v>
      </c>
      <c r="E26" s="12" t="n">
        <v>0</v>
      </c>
      <c r="F26" s="11" t="n">
        <v>0</v>
      </c>
      <c r="G26" s="20" t="n">
        <v>-478.94</v>
      </c>
      <c r="H26" s="11" t="n">
        <v>196905.01</v>
      </c>
      <c r="I26" s="11" t="n">
        <v>2362860.12</v>
      </c>
      <c r="J26" s="14" t="n">
        <v>41</v>
      </c>
    </row>
    <row r="27" ht="16" customHeight="1">
      <c r="A27" s="5" t="inlineStr">
        <is>
          <t>2024-12</t>
        </is>
      </c>
      <c r="B27" s="15" t="n">
        <v>0</v>
      </c>
      <c r="C27" s="15" t="n">
        <v>0</v>
      </c>
      <c r="D27" s="16" t="n">
        <v>0</v>
      </c>
      <c r="E27" s="16" t="n">
        <v>0</v>
      </c>
      <c r="F27" s="15" t="n">
        <v>0</v>
      </c>
      <c r="G27" s="15" t="n">
        <v>0</v>
      </c>
      <c r="H27" s="15" t="n">
        <v>197087.7</v>
      </c>
      <c r="I27" s="15" t="n">
        <v>2365052.4</v>
      </c>
      <c r="J27" s="18" t="n">
        <v>41</v>
      </c>
    </row>
    <row r="28" ht="18" customHeight="1">
      <c r="A28" s="21" t="inlineStr">
        <is>
          <t>TOTAL</t>
        </is>
      </c>
      <c r="B28" s="22" t="n">
        <v>225113.5</v>
      </c>
      <c r="C28" s="22" t="n">
        <v>16895.36</v>
      </c>
      <c r="D28" s="22" t="n">
        <v>-2131.96</v>
      </c>
      <c r="E28" s="22" t="n">
        <v>-44194.75999999999</v>
      </c>
      <c r="F28" s="22" t="n">
        <v>2458.08</v>
      </c>
      <c r="G28" s="22" t="n">
        <v>198140.22</v>
      </c>
      <c r="H28" s="23" t="n"/>
      <c r="I28" s="23" t="n"/>
      <c r="J28" s="23" t="n"/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0" customWidth="1" min="5" max="5"/>
    <col width="10" customWidth="1" min="6" max="6"/>
  </cols>
  <sheetData>
    <row r="1" ht="28" customHeight="1">
      <c r="A1" s="1" t="inlineStr">
        <is>
          <t>Net &amp; Gross Revenue Retention  |  Rolling 12-Month Cohort</t>
        </is>
      </c>
    </row>
    <row r="3" ht="20" customHeight="1">
      <c r="A3" s="2" t="inlineStr">
        <is>
          <t>Period</t>
        </is>
      </c>
      <c r="B3" s="2" t="inlineStr">
        <is>
          <t>Base Period</t>
        </is>
      </c>
      <c r="C3" s="2" t="inlineStr">
        <is>
          <t>Starting MRR</t>
        </is>
      </c>
      <c r="D3" s="2" t="inlineStr">
        <is>
          <t>Ending MRR</t>
        </is>
      </c>
      <c r="E3" s="2" t="inlineStr">
        <is>
          <t>NRR %</t>
        </is>
      </c>
      <c r="F3" s="2" t="inlineStr">
        <is>
          <t>GRR %</t>
        </is>
      </c>
    </row>
    <row r="4" ht="16" customHeight="1">
      <c r="A4" s="3" t="inlineStr">
        <is>
          <t>2024-01</t>
        </is>
      </c>
      <c r="B4" s="3" t="inlineStr">
        <is>
          <t>2023-01</t>
        </is>
      </c>
      <c r="C4" s="11" t="n">
        <v>16397.63</v>
      </c>
      <c r="D4" s="11" t="n">
        <v>16342.34</v>
      </c>
      <c r="E4" s="24" t="n">
        <v>0.997</v>
      </c>
      <c r="F4" s="25" t="n">
        <v>0.965</v>
      </c>
    </row>
    <row r="5" ht="16" customHeight="1">
      <c r="A5" s="5" t="inlineStr">
        <is>
          <t>2024-02</t>
        </is>
      </c>
      <c r="B5" s="5" t="inlineStr">
        <is>
          <t>2023-02</t>
        </is>
      </c>
      <c r="C5" s="15" t="n">
        <v>26610</v>
      </c>
      <c r="D5" s="15" t="n">
        <v>26568.76</v>
      </c>
      <c r="E5" s="26" t="n">
        <v>0.998</v>
      </c>
      <c r="F5" s="27" t="n">
        <v>0.9790000000000001</v>
      </c>
    </row>
    <row r="6" ht="16" customHeight="1">
      <c r="A6" s="3" t="inlineStr">
        <is>
          <t>2024-03</t>
        </is>
      </c>
      <c r="B6" s="3" t="inlineStr">
        <is>
          <t>2023-03</t>
        </is>
      </c>
      <c r="C6" s="11" t="n">
        <v>40447.96</v>
      </c>
      <c r="D6" s="11" t="n">
        <v>40675.31</v>
      </c>
      <c r="E6" s="28" t="n">
        <v>1.006</v>
      </c>
      <c r="F6" s="25" t="n">
        <v>0.982</v>
      </c>
    </row>
    <row r="7" ht="16" customHeight="1">
      <c r="A7" s="5" t="inlineStr">
        <is>
          <t>2024-04</t>
        </is>
      </c>
      <c r="B7" s="5" t="inlineStr">
        <is>
          <t>2023-04</t>
        </is>
      </c>
      <c r="C7" s="15" t="n">
        <v>71373.92</v>
      </c>
      <c r="D7" s="15" t="n">
        <v>76769.42999999999</v>
      </c>
      <c r="E7" s="29" t="n">
        <v>1.076</v>
      </c>
      <c r="F7" s="27" t="n">
        <v>0.991</v>
      </c>
    </row>
    <row r="8" ht="16" customHeight="1">
      <c r="A8" s="3" t="inlineStr">
        <is>
          <t>2024-05</t>
        </is>
      </c>
      <c r="B8" s="3" t="inlineStr">
        <is>
          <t>2023-05</t>
        </is>
      </c>
      <c r="C8" s="11" t="n">
        <v>77621.57000000001</v>
      </c>
      <c r="D8" s="11" t="n">
        <v>77603.55</v>
      </c>
      <c r="E8" s="28" t="n">
        <v>1</v>
      </c>
      <c r="F8" s="25" t="n">
        <v>0.9259999999999999</v>
      </c>
    </row>
    <row r="9" ht="16" customHeight="1">
      <c r="A9" s="5" t="inlineStr">
        <is>
          <t>2024-06</t>
        </is>
      </c>
      <c r="B9" s="5" t="inlineStr">
        <is>
          <t>2023-06</t>
        </is>
      </c>
      <c r="C9" s="15" t="n">
        <v>117650.87</v>
      </c>
      <c r="D9" s="15" t="n">
        <v>122107.89</v>
      </c>
      <c r="E9" s="29" t="n">
        <v>1.038</v>
      </c>
      <c r="F9" s="27" t="n">
        <v>0.95</v>
      </c>
    </row>
    <row r="10" ht="16" customHeight="1">
      <c r="A10" s="3" t="inlineStr">
        <is>
          <t>2024-07</t>
        </is>
      </c>
      <c r="B10" s="3" t="inlineStr">
        <is>
          <t>2023-07</t>
        </is>
      </c>
      <c r="C10" s="11" t="n">
        <v>125842.29</v>
      </c>
      <c r="D10" s="11" t="n">
        <v>118170.99</v>
      </c>
      <c r="E10" s="24" t="n">
        <v>0.9390000000000001</v>
      </c>
      <c r="F10" s="25" t="n">
        <v>0.852</v>
      </c>
    </row>
    <row r="11" ht="16" customHeight="1">
      <c r="A11" s="5" t="inlineStr">
        <is>
          <t>2024-08</t>
        </is>
      </c>
      <c r="B11" s="5" t="inlineStr">
        <is>
          <t>2023-08</t>
        </is>
      </c>
      <c r="C11" s="15" t="n">
        <v>149023.45</v>
      </c>
      <c r="D11" s="15" t="n">
        <v>130858.86</v>
      </c>
      <c r="E11" s="26" t="n">
        <v>0.878</v>
      </c>
      <c r="F11" s="27" t="n">
        <v>0.838</v>
      </c>
    </row>
    <row r="12" ht="16" customHeight="1">
      <c r="A12" s="3" t="inlineStr">
        <is>
          <t>2024-09</t>
        </is>
      </c>
      <c r="B12" s="3" t="inlineStr">
        <is>
          <t>2023-09</t>
        </is>
      </c>
      <c r="C12" s="11" t="n">
        <v>150099.05</v>
      </c>
      <c r="D12" s="11" t="n">
        <v>132552.41</v>
      </c>
      <c r="E12" s="24" t="n">
        <v>0.883</v>
      </c>
      <c r="F12" s="25" t="n">
        <v>0.843</v>
      </c>
    </row>
    <row r="13" ht="16" customHeight="1">
      <c r="A13" s="5" t="inlineStr">
        <is>
          <t>2024-10</t>
        </is>
      </c>
      <c r="B13" s="5" t="inlineStr">
        <is>
          <t>2023-10</t>
        </is>
      </c>
      <c r="C13" s="15" t="n">
        <v>160918.35</v>
      </c>
      <c r="D13" s="15" t="n">
        <v>138994.06</v>
      </c>
      <c r="E13" s="26" t="n">
        <v>0.8640000000000001</v>
      </c>
      <c r="F13" s="27" t="n">
        <v>0.841</v>
      </c>
    </row>
    <row r="14" ht="16" customHeight="1">
      <c r="A14" s="3" t="inlineStr">
        <is>
          <t>2024-11</t>
        </is>
      </c>
      <c r="B14" s="3" t="inlineStr">
        <is>
          <t>2023-11</t>
        </is>
      </c>
      <c r="C14" s="11" t="n">
        <v>173378.06</v>
      </c>
      <c r="D14" s="11" t="n">
        <v>148081.66</v>
      </c>
      <c r="E14" s="24" t="n">
        <v>0.8540000000000001</v>
      </c>
      <c r="F14" s="25" t="n">
        <v>0.8370000000000001</v>
      </c>
    </row>
    <row r="15" ht="16" customHeight="1">
      <c r="A15" s="5" t="inlineStr">
        <is>
          <t>2024-12</t>
        </is>
      </c>
      <c r="B15" s="5" t="inlineStr">
        <is>
          <t>2023-12</t>
        </is>
      </c>
      <c r="C15" s="15" t="n">
        <v>177568.37</v>
      </c>
      <c r="D15" s="15" t="n">
        <v>148393.95</v>
      </c>
      <c r="E15" s="26" t="n">
        <v>0.836</v>
      </c>
      <c r="F15" s="27" t="n">
        <v>0.821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5" customWidth="1" min="26" max="26"/>
  </cols>
  <sheetData>
    <row r="1" ht="28" customHeight="1">
      <c r="A1" s="1" t="inlineStr">
        <is>
          <t>Cohort Revenue Retention  |  % of Original Cohort MRR Retained</t>
        </is>
      </c>
    </row>
    <row r="3">
      <c r="A3" s="30" t="inlineStr">
        <is>
          <t>Cohort</t>
        </is>
      </c>
      <c r="B3" s="31" t="inlineStr">
        <is>
          <t>M+0</t>
        </is>
      </c>
      <c r="C3" s="31" t="inlineStr">
        <is>
          <t>M+1</t>
        </is>
      </c>
      <c r="D3" s="31" t="inlineStr">
        <is>
          <t>M+2</t>
        </is>
      </c>
      <c r="E3" s="31" t="inlineStr">
        <is>
          <t>M+3</t>
        </is>
      </c>
      <c r="F3" s="31" t="inlineStr">
        <is>
          <t>M+4</t>
        </is>
      </c>
      <c r="G3" s="31" t="inlineStr">
        <is>
          <t>M+5</t>
        </is>
      </c>
      <c r="H3" s="31" t="inlineStr">
        <is>
          <t>M+6</t>
        </is>
      </c>
      <c r="I3" s="31" t="inlineStr">
        <is>
          <t>M+7</t>
        </is>
      </c>
      <c r="J3" s="31" t="inlineStr">
        <is>
          <t>M+8</t>
        </is>
      </c>
      <c r="K3" s="31" t="inlineStr">
        <is>
          <t>M+9</t>
        </is>
      </c>
      <c r="L3" s="31" t="inlineStr">
        <is>
          <t>M+10</t>
        </is>
      </c>
      <c r="M3" s="31" t="inlineStr">
        <is>
          <t>M+11</t>
        </is>
      </c>
      <c r="N3" s="31" t="inlineStr">
        <is>
          <t>M+12</t>
        </is>
      </c>
      <c r="O3" s="31" t="inlineStr">
        <is>
          <t>M+13</t>
        </is>
      </c>
      <c r="P3" s="31" t="inlineStr">
        <is>
          <t>M+14</t>
        </is>
      </c>
      <c r="Q3" s="31" t="inlineStr">
        <is>
          <t>M+15</t>
        </is>
      </c>
      <c r="R3" s="31" t="inlineStr">
        <is>
          <t>M+16</t>
        </is>
      </c>
      <c r="S3" s="31" t="inlineStr">
        <is>
          <t>M+17</t>
        </is>
      </c>
      <c r="T3" s="31" t="inlineStr">
        <is>
          <t>M+18</t>
        </is>
      </c>
      <c r="U3" s="31" t="inlineStr">
        <is>
          <t>M+19</t>
        </is>
      </c>
      <c r="V3" s="31" t="inlineStr">
        <is>
          <t>M+20</t>
        </is>
      </c>
      <c r="W3" s="31" t="inlineStr">
        <is>
          <t>M+21</t>
        </is>
      </c>
      <c r="X3" s="31" t="inlineStr">
        <is>
          <t>M+22</t>
        </is>
      </c>
      <c r="Y3" s="31" t="inlineStr">
        <is>
          <t>M+23</t>
        </is>
      </c>
      <c r="Z3" s="31" t="inlineStr">
        <is>
          <t>n</t>
        </is>
      </c>
    </row>
    <row r="4">
      <c r="A4" s="32" t="inlineStr">
        <is>
          <t>2023-01</t>
        </is>
      </c>
      <c r="B4" s="33" t="n">
        <v>1</v>
      </c>
      <c r="C4" s="33" t="n">
        <v>1</v>
      </c>
      <c r="D4" s="33" t="n">
        <v>1.009</v>
      </c>
      <c r="E4" s="33" t="n">
        <v>1.004</v>
      </c>
      <c r="F4" s="34" t="n">
        <v>0.997</v>
      </c>
      <c r="G4" s="34" t="n">
        <v>0.997</v>
      </c>
      <c r="H4" s="34" t="n">
        <v>0.997</v>
      </c>
      <c r="I4" s="34" t="n">
        <v>0.997</v>
      </c>
      <c r="J4" s="34" t="n">
        <v>0.997</v>
      </c>
      <c r="K4" s="34" t="n">
        <v>0.997</v>
      </c>
      <c r="L4" s="34" t="n">
        <v>0.997</v>
      </c>
      <c r="M4" s="34" t="n">
        <v>0.997</v>
      </c>
      <c r="N4" s="34" t="n">
        <v>0.997</v>
      </c>
      <c r="O4" s="34" t="n">
        <v>0.997</v>
      </c>
      <c r="P4" s="34" t="n">
        <v>0.997</v>
      </c>
      <c r="Q4" s="34" t="n">
        <v>0.997</v>
      </c>
      <c r="R4" s="34" t="n">
        <v>0.997</v>
      </c>
      <c r="S4" s="34" t="n">
        <v>0.997</v>
      </c>
      <c r="T4" s="34" t="n">
        <v>0.997</v>
      </c>
      <c r="U4" s="34" t="n">
        <v>0.997</v>
      </c>
      <c r="V4" s="34" t="n">
        <v>0.997</v>
      </c>
      <c r="W4" s="34" t="n">
        <v>0.997</v>
      </c>
      <c r="X4" s="34" t="n">
        <v>0.997</v>
      </c>
      <c r="Y4" s="34" t="n">
        <v>0.997</v>
      </c>
      <c r="Z4" s="62" t="n">
        <v>4</v>
      </c>
    </row>
    <row r="5">
      <c r="A5" s="32" t="inlineStr">
        <is>
          <t>2023-02</t>
        </is>
      </c>
      <c r="B5" s="33" t="n">
        <v>1</v>
      </c>
      <c r="C5" s="34" t="n">
        <v>0.9990000000000001</v>
      </c>
      <c r="D5" s="34" t="n">
        <v>0.996</v>
      </c>
      <c r="E5" s="34" t="n">
        <v>0.9990000000000001</v>
      </c>
      <c r="F5" s="34" t="n">
        <v>0.997</v>
      </c>
      <c r="G5" s="34" t="n">
        <v>0.996</v>
      </c>
      <c r="H5" s="34" t="n">
        <v>0.998</v>
      </c>
      <c r="I5" s="33" t="n">
        <v>1.004</v>
      </c>
      <c r="J5" s="33" t="n">
        <v>1</v>
      </c>
      <c r="K5" s="34" t="n">
        <v>0.996</v>
      </c>
      <c r="L5" s="33" t="n">
        <v>1.003</v>
      </c>
      <c r="M5" s="33" t="n">
        <v>1.001</v>
      </c>
      <c r="N5" s="33" t="n">
        <v>1.001</v>
      </c>
      <c r="O5" s="34" t="n">
        <v>0.996</v>
      </c>
      <c r="P5" s="34" t="n">
        <v>0.996</v>
      </c>
      <c r="Q5" s="34" t="n">
        <v>0.996</v>
      </c>
      <c r="R5" s="34" t="n">
        <v>0.996</v>
      </c>
      <c r="S5" s="33" t="n">
        <v>1.001</v>
      </c>
      <c r="T5" s="33" t="n">
        <v>1.001</v>
      </c>
      <c r="U5" s="33" t="n">
        <v>1.005</v>
      </c>
      <c r="V5" s="33" t="n">
        <v>1.001</v>
      </c>
      <c r="W5" s="34" t="n">
        <v>0.997</v>
      </c>
      <c r="X5" s="34" t="n">
        <v>0.996</v>
      </c>
      <c r="Z5" s="63" t="n">
        <v>2</v>
      </c>
    </row>
    <row r="6">
      <c r="A6" s="32" t="inlineStr">
        <is>
          <t>2023-03</t>
        </is>
      </c>
      <c r="B6" s="33" t="n">
        <v>1</v>
      </c>
      <c r="C6" s="33" t="n">
        <v>1</v>
      </c>
      <c r="D6" s="33" t="n">
        <v>1</v>
      </c>
      <c r="E6" s="33" t="n">
        <v>1</v>
      </c>
      <c r="F6" s="33" t="n">
        <v>1</v>
      </c>
      <c r="G6" s="33" t="n">
        <v>1.033</v>
      </c>
      <c r="H6" s="33" t="n">
        <v>1.033</v>
      </c>
      <c r="I6" s="33" t="n">
        <v>1.033</v>
      </c>
      <c r="J6" s="33" t="n">
        <v>1.033</v>
      </c>
      <c r="K6" s="33" t="n">
        <v>1.033</v>
      </c>
      <c r="L6" s="33" t="n">
        <v>1.033</v>
      </c>
      <c r="M6" s="33" t="n">
        <v>1.033</v>
      </c>
      <c r="N6" s="33" t="n">
        <v>1.033</v>
      </c>
      <c r="O6" s="33" t="n">
        <v>1.033</v>
      </c>
      <c r="P6" s="33" t="n">
        <v>1.033</v>
      </c>
      <c r="Q6" s="33" t="n">
        <v>1.033</v>
      </c>
      <c r="R6" s="33" t="n">
        <v>1.033</v>
      </c>
      <c r="S6" s="33" t="n">
        <v>1.033</v>
      </c>
      <c r="T6" s="33" t="n">
        <v>1.033</v>
      </c>
      <c r="U6" s="33" t="n">
        <v>1.033</v>
      </c>
      <c r="V6" s="33" t="n">
        <v>1.033</v>
      </c>
      <c r="W6" s="33" t="n">
        <v>1.033</v>
      </c>
      <c r="Z6" s="62" t="n">
        <v>4</v>
      </c>
    </row>
    <row r="7">
      <c r="A7" s="32" t="inlineStr">
        <is>
          <t>2023-04</t>
        </is>
      </c>
      <c r="B7" s="33" t="n">
        <v>1</v>
      </c>
      <c r="C7" s="33" t="n">
        <v>1</v>
      </c>
      <c r="D7" s="33" t="n">
        <v>1</v>
      </c>
      <c r="E7" s="33" t="n">
        <v>1.005</v>
      </c>
      <c r="F7" s="33" t="n">
        <v>1.17</v>
      </c>
      <c r="G7" s="33" t="n">
        <v>1.165</v>
      </c>
      <c r="H7" s="33" t="n">
        <v>1.163</v>
      </c>
      <c r="I7" s="33" t="n">
        <v>1.171</v>
      </c>
      <c r="J7" s="33" t="n">
        <v>1.163</v>
      </c>
      <c r="K7" s="33" t="n">
        <v>1.167</v>
      </c>
      <c r="L7" s="33" t="n">
        <v>1.17</v>
      </c>
      <c r="M7" s="33" t="n">
        <v>1.163</v>
      </c>
      <c r="N7" s="33" t="n">
        <v>1.163</v>
      </c>
      <c r="O7" s="33" t="n">
        <v>1.163</v>
      </c>
      <c r="P7" s="33" t="n">
        <v>1.173</v>
      </c>
      <c r="Q7" s="33" t="n">
        <v>1.163</v>
      </c>
      <c r="R7" s="33" t="n">
        <v>1.164</v>
      </c>
      <c r="S7" s="33" t="n">
        <v>1.168</v>
      </c>
      <c r="T7" s="33" t="n">
        <v>1.166</v>
      </c>
      <c r="U7" s="33" t="n">
        <v>1.163</v>
      </c>
      <c r="V7" s="33" t="n">
        <v>1.172</v>
      </c>
      <c r="Z7" s="64" t="n">
        <v>6</v>
      </c>
    </row>
    <row r="8">
      <c r="A8" s="32" t="inlineStr">
        <is>
          <t>2023-05</t>
        </is>
      </c>
      <c r="B8" s="33" t="n">
        <v>1</v>
      </c>
      <c r="C8" s="33" t="n">
        <v>1</v>
      </c>
      <c r="D8" s="33" t="n">
        <v>1</v>
      </c>
      <c r="E8" s="33" t="n">
        <v>1</v>
      </c>
      <c r="F8" s="33" t="n">
        <v>1</v>
      </c>
      <c r="G8" s="33" t="n">
        <v>1.032</v>
      </c>
      <c r="H8" s="33" t="n">
        <v>1.032</v>
      </c>
      <c r="I8" s="33" t="n">
        <v>1.032</v>
      </c>
      <c r="J8" s="35" t="n">
        <v>0.131</v>
      </c>
      <c r="K8" s="35" t="n">
        <v>0.131</v>
      </c>
      <c r="L8" s="35" t="n">
        <v>0.131</v>
      </c>
      <c r="M8" s="35" t="n">
        <v>0.131</v>
      </c>
      <c r="N8" s="35" t="n">
        <v>0.131</v>
      </c>
      <c r="O8" s="35" t="n">
        <v>0.131</v>
      </c>
      <c r="P8" s="35" t="n">
        <v>0.131</v>
      </c>
      <c r="Q8" s="35" t="n">
        <v>0.131</v>
      </c>
      <c r="R8" s="35" t="n">
        <v>0.131</v>
      </c>
      <c r="S8" s="35" t="n">
        <v>0.131</v>
      </c>
      <c r="T8" s="35" t="n">
        <v>0.131</v>
      </c>
      <c r="U8" s="35" t="n">
        <v>0.131</v>
      </c>
      <c r="Z8" s="63" t="n">
        <v>2</v>
      </c>
    </row>
    <row r="9">
      <c r="A9" s="32" t="inlineStr">
        <is>
          <t>2023-06</t>
        </is>
      </c>
      <c r="B9" s="33" t="n">
        <v>1</v>
      </c>
      <c r="C9" s="33" t="n">
        <v>1.004</v>
      </c>
      <c r="D9" s="33" t="n">
        <v>1.009</v>
      </c>
      <c r="E9" s="33" t="n">
        <v>1</v>
      </c>
      <c r="F9" s="33" t="n">
        <v>1.074</v>
      </c>
      <c r="G9" s="33" t="n">
        <v>1.117</v>
      </c>
      <c r="H9" s="33" t="n">
        <v>1.107</v>
      </c>
      <c r="I9" s="33" t="n">
        <v>1.101</v>
      </c>
      <c r="J9" s="33" t="n">
        <v>1.103</v>
      </c>
      <c r="K9" s="33" t="n">
        <v>1.1</v>
      </c>
      <c r="L9" s="33" t="n">
        <v>1.1</v>
      </c>
      <c r="M9" s="33" t="n">
        <v>1.1</v>
      </c>
      <c r="N9" s="33" t="n">
        <v>1.104</v>
      </c>
      <c r="O9" s="36" t="n">
        <v>0.7909999999999999</v>
      </c>
      <c r="P9" s="36" t="n">
        <v>0.7909999999999999</v>
      </c>
      <c r="Q9" s="36" t="n">
        <v>0.7909999999999999</v>
      </c>
      <c r="R9" s="36" t="n">
        <v>0.7909999999999999</v>
      </c>
      <c r="S9" s="36" t="n">
        <v>0.7909999999999999</v>
      </c>
      <c r="T9" s="36" t="n">
        <v>0.7909999999999999</v>
      </c>
      <c r="Z9" s="64" t="n">
        <v>7</v>
      </c>
    </row>
    <row r="10">
      <c r="A10" s="32" t="inlineStr">
        <is>
          <t>2023-07</t>
        </is>
      </c>
      <c r="B10" s="33" t="n">
        <v>1</v>
      </c>
      <c r="C10" s="34" t="n">
        <v>0.96</v>
      </c>
      <c r="D10" s="34" t="n">
        <v>0.9409999999999999</v>
      </c>
      <c r="E10" s="34" t="n">
        <v>0.9409999999999999</v>
      </c>
      <c r="F10" s="33" t="n">
        <v>1.118</v>
      </c>
      <c r="G10" s="33" t="n">
        <v>1.202</v>
      </c>
      <c r="H10" s="33" t="n">
        <v>1.194</v>
      </c>
      <c r="I10" s="33" t="n">
        <v>1.186</v>
      </c>
      <c r="J10" s="33" t="n">
        <v>1.118</v>
      </c>
      <c r="K10" s="33" t="n">
        <v>1.118</v>
      </c>
      <c r="L10" s="33" t="n">
        <v>1.193</v>
      </c>
      <c r="M10" s="33" t="n">
        <v>1.204</v>
      </c>
      <c r="N10" s="33" t="n">
        <v>1.118</v>
      </c>
      <c r="O10" s="33" t="n">
        <v>1.131</v>
      </c>
      <c r="P10" s="33" t="n">
        <v>1.118</v>
      </c>
      <c r="Q10" s="33" t="n">
        <v>1.175</v>
      </c>
      <c r="R10" s="33" t="n">
        <v>1.175</v>
      </c>
      <c r="S10" s="33" t="n">
        <v>1.118</v>
      </c>
      <c r="Z10" s="63" t="n">
        <v>2</v>
      </c>
    </row>
    <row r="11">
      <c r="A11" s="32" t="inlineStr">
        <is>
          <t>2023-08</t>
        </is>
      </c>
      <c r="B11" s="33" t="n">
        <v>1</v>
      </c>
      <c r="C11" s="34" t="n">
        <v>0.9399999999999999</v>
      </c>
      <c r="D11" s="34" t="n">
        <v>0.982</v>
      </c>
      <c r="E11" s="34" t="n">
        <v>0.9399999999999999</v>
      </c>
      <c r="F11" s="33" t="n">
        <v>1.006</v>
      </c>
      <c r="G11" s="33" t="n">
        <v>1.049</v>
      </c>
      <c r="H11" s="33" t="n">
        <v>1.056</v>
      </c>
      <c r="I11" s="36" t="n">
        <v>0.732</v>
      </c>
      <c r="J11" s="34" t="n">
        <v>0.821</v>
      </c>
      <c r="K11" s="36" t="n">
        <v>0.7040000000000001</v>
      </c>
      <c r="L11" s="36" t="n">
        <v>0.6559999999999999</v>
      </c>
      <c r="M11" s="36" t="n">
        <v>0.7140000000000001</v>
      </c>
      <c r="N11" s="36" t="n">
        <v>0.713</v>
      </c>
      <c r="O11" s="36" t="n">
        <v>0.6559999999999999</v>
      </c>
      <c r="P11" s="36" t="n">
        <v>0.7070000000000001</v>
      </c>
      <c r="Q11" s="36" t="n">
        <v>0.662</v>
      </c>
      <c r="R11" s="36" t="n">
        <v>0.6559999999999999</v>
      </c>
      <c r="Z11" s="64" t="n">
        <v>5</v>
      </c>
    </row>
    <row r="12">
      <c r="A12" s="32" t="inlineStr">
        <is>
          <t>2023-09</t>
        </is>
      </c>
      <c r="B12" s="33" t="n">
        <v>1</v>
      </c>
      <c r="C12" s="33" t="n">
        <v>1</v>
      </c>
      <c r="D12" s="33" t="n">
        <v>1</v>
      </c>
      <c r="E12" s="33" t="n">
        <v>1</v>
      </c>
      <c r="F12" s="33" t="n">
        <v>1</v>
      </c>
      <c r="G12" s="33" t="n">
        <v>1</v>
      </c>
      <c r="H12" s="34" t="n">
        <v>0.945</v>
      </c>
      <c r="I12" s="34" t="n">
        <v>0.945</v>
      </c>
      <c r="J12" s="34" t="n">
        <v>0.945</v>
      </c>
      <c r="K12" s="34" t="n">
        <v>0.945</v>
      </c>
      <c r="L12" s="34" t="n">
        <v>0.945</v>
      </c>
      <c r="M12" s="34" t="n">
        <v>0.945</v>
      </c>
      <c r="N12" s="34" t="n">
        <v>0.945</v>
      </c>
      <c r="O12" s="35" t="n">
        <v>0.179</v>
      </c>
      <c r="P12" s="35" t="n">
        <v>0.179</v>
      </c>
      <c r="Q12" s="35" t="n">
        <v>0.179</v>
      </c>
      <c r="Z12" s="63" t="n">
        <v>2</v>
      </c>
    </row>
    <row r="13">
      <c r="A13" s="32" t="inlineStr">
        <is>
          <t>2023-10</t>
        </is>
      </c>
      <c r="B13" s="33" t="n">
        <v>1</v>
      </c>
      <c r="C13" s="33" t="n">
        <v>1</v>
      </c>
      <c r="D13" s="33" t="n">
        <v>1</v>
      </c>
      <c r="E13" s="33" t="n">
        <v>1</v>
      </c>
      <c r="F13" s="33" t="n">
        <v>1</v>
      </c>
      <c r="G13" s="33" t="n">
        <v>1.043</v>
      </c>
      <c r="H13" s="33" t="n">
        <v>1.043</v>
      </c>
      <c r="I13" s="33" t="n">
        <v>1.043</v>
      </c>
      <c r="J13" s="33" t="n">
        <v>1.043</v>
      </c>
      <c r="K13" s="33" t="n">
        <v>1.043</v>
      </c>
      <c r="L13" s="33" t="n">
        <v>1.043</v>
      </c>
      <c r="M13" s="33" t="n">
        <v>1.043</v>
      </c>
      <c r="N13" s="33" t="n">
        <v>1.043</v>
      </c>
      <c r="O13" s="33" t="n">
        <v>1.043</v>
      </c>
      <c r="P13" s="33" t="n">
        <v>1.043</v>
      </c>
      <c r="Z13" s="63" t="n">
        <v>2</v>
      </c>
    </row>
    <row r="14">
      <c r="A14" s="32" t="inlineStr">
        <is>
          <t>2023-11</t>
        </is>
      </c>
      <c r="B14" s="33" t="n">
        <v>1</v>
      </c>
      <c r="C14" s="33" t="n">
        <v>1</v>
      </c>
      <c r="D14" s="33" t="n">
        <v>1</v>
      </c>
      <c r="E14" s="33" t="n">
        <v>1</v>
      </c>
      <c r="F14" s="33" t="n">
        <v>1.107</v>
      </c>
      <c r="G14" s="33" t="n">
        <v>1.152</v>
      </c>
      <c r="H14" s="33" t="n">
        <v>1.014</v>
      </c>
      <c r="I14" s="33" t="n">
        <v>1.014</v>
      </c>
      <c r="J14" s="33" t="n">
        <v>1.014</v>
      </c>
      <c r="K14" s="33" t="n">
        <v>1.014</v>
      </c>
      <c r="L14" s="33" t="n">
        <v>1.014</v>
      </c>
      <c r="M14" s="33" t="n">
        <v>1.014</v>
      </c>
      <c r="N14" s="33" t="n">
        <v>1.014</v>
      </c>
      <c r="O14" s="33" t="n">
        <v>1.014</v>
      </c>
      <c r="Z14" s="63" t="n">
        <v>2</v>
      </c>
    </row>
    <row r="15">
      <c r="A15" s="32" t="inlineStr">
        <is>
          <t>2023-12</t>
        </is>
      </c>
      <c r="B15" s="33" t="n">
        <v>1</v>
      </c>
      <c r="C15" s="33" t="n">
        <v>1</v>
      </c>
      <c r="D15" s="33" t="n">
        <v>1</v>
      </c>
      <c r="E15" s="33" t="n">
        <v>1</v>
      </c>
      <c r="F15" s="33" t="n">
        <v>1</v>
      </c>
      <c r="G15" s="33" t="n">
        <v>1</v>
      </c>
      <c r="H15" s="36" t="n">
        <v>0.635</v>
      </c>
      <c r="I15" s="36" t="n">
        <v>0.635</v>
      </c>
      <c r="J15" s="36" t="n">
        <v>0.635</v>
      </c>
      <c r="K15" s="35" t="n">
        <v>0.211</v>
      </c>
      <c r="L15" s="35" t="n">
        <v>0.211</v>
      </c>
      <c r="M15" s="35" t="n">
        <v>0.211</v>
      </c>
      <c r="N15" s="35" t="n">
        <v>0.211</v>
      </c>
      <c r="Z15" s="63" t="n">
        <v>2</v>
      </c>
    </row>
    <row r="16">
      <c r="A16" s="32" t="inlineStr">
        <is>
          <t>2024-01</t>
        </is>
      </c>
      <c r="B16" s="33" t="n">
        <v>1</v>
      </c>
      <c r="C16" s="33" t="n">
        <v>1</v>
      </c>
      <c r="D16" s="33" t="n">
        <v>1</v>
      </c>
      <c r="E16" s="33" t="n">
        <v>1</v>
      </c>
      <c r="F16" s="33" t="n">
        <v>1</v>
      </c>
      <c r="G16" s="35" t="n">
        <v>0.284</v>
      </c>
      <c r="H16" s="35" t="n">
        <v>0.284</v>
      </c>
      <c r="I16" s="35" t="n">
        <v>0.284</v>
      </c>
      <c r="J16" s="35" t="n">
        <v>0.284</v>
      </c>
      <c r="K16" s="35" t="n">
        <v>0.284</v>
      </c>
      <c r="L16" s="35" t="n">
        <v>0.284</v>
      </c>
      <c r="M16" s="35" t="n">
        <v>0.284</v>
      </c>
      <c r="Z16" s="63" t="n">
        <v>2</v>
      </c>
    </row>
    <row r="17">
      <c r="A17" s="32" t="inlineStr">
        <is>
          <t>2024-02</t>
        </is>
      </c>
      <c r="B17" s="33" t="n">
        <v>1</v>
      </c>
      <c r="C17" s="33" t="n">
        <v>1</v>
      </c>
      <c r="D17" s="33" t="n">
        <v>1.018</v>
      </c>
      <c r="E17" s="33" t="n">
        <v>1.018</v>
      </c>
      <c r="F17" s="33" t="n">
        <v>1.054</v>
      </c>
      <c r="G17" s="33" t="n">
        <v>1.054</v>
      </c>
      <c r="H17" s="33" t="n">
        <v>1.054</v>
      </c>
      <c r="I17" s="33" t="n">
        <v>1.054</v>
      </c>
      <c r="J17" s="33" t="n">
        <v>1.054</v>
      </c>
      <c r="K17" s="33" t="n">
        <v>1.054</v>
      </c>
      <c r="L17" s="33" t="n">
        <v>1.054</v>
      </c>
      <c r="Z17" s="62" t="n">
        <v>3</v>
      </c>
    </row>
    <row r="18">
      <c r="A18" s="32" t="inlineStr">
        <is>
          <t>2024-03</t>
        </is>
      </c>
      <c r="B18" s="33" t="n">
        <v>1</v>
      </c>
      <c r="C18" s="34" t="n">
        <v>0.85</v>
      </c>
      <c r="D18" s="34" t="n">
        <v>0.978</v>
      </c>
      <c r="E18" s="34" t="n">
        <v>0.85</v>
      </c>
      <c r="F18" s="33" t="n">
        <v>1.22</v>
      </c>
      <c r="G18" s="33" t="n">
        <v>1.227</v>
      </c>
      <c r="H18" s="33" t="n">
        <v>1.249</v>
      </c>
      <c r="I18" s="33" t="n">
        <v>1.323</v>
      </c>
      <c r="J18" s="33" t="n">
        <v>1.292</v>
      </c>
      <c r="K18" s="33" t="n">
        <v>1.358</v>
      </c>
      <c r="Z18" s="63" t="n">
        <v>2</v>
      </c>
    </row>
    <row r="19">
      <c r="A19" s="32" t="inlineStr">
        <is>
          <t>2024-04</t>
        </is>
      </c>
      <c r="B19" s="33" t="n">
        <v>1</v>
      </c>
      <c r="C19" s="34" t="n">
        <v>0.956</v>
      </c>
      <c r="D19" s="34" t="n">
        <v>0.956</v>
      </c>
      <c r="E19" s="33" t="n">
        <v>1.036</v>
      </c>
      <c r="F19" s="34" t="n">
        <v>0.956</v>
      </c>
      <c r="G19" s="34" t="n">
        <v>0.9990000000000001</v>
      </c>
      <c r="H19" s="34" t="n">
        <v>0.998</v>
      </c>
      <c r="I19" s="34" t="n">
        <v>0.956</v>
      </c>
      <c r="J19" s="33" t="n">
        <v>1.012</v>
      </c>
      <c r="Z19" s="63" t="n">
        <v>2</v>
      </c>
    </row>
    <row r="20">
      <c r="A20" s="32" t="inlineStr">
        <is>
          <t>2024-05</t>
        </is>
      </c>
      <c r="B20" s="33" t="n">
        <v>1</v>
      </c>
      <c r="C20" s="33" t="n">
        <v>1</v>
      </c>
      <c r="D20" s="33" t="n">
        <v>1</v>
      </c>
      <c r="E20" s="33" t="n">
        <v>1</v>
      </c>
      <c r="F20" s="33" t="n">
        <v>1</v>
      </c>
      <c r="G20" s="33" t="n">
        <v>1</v>
      </c>
      <c r="H20" s="34" t="n">
        <v>0.9640000000000001</v>
      </c>
      <c r="I20" s="34" t="n">
        <v>0.9640000000000001</v>
      </c>
      <c r="Z20" s="63" t="n">
        <v>1</v>
      </c>
    </row>
    <row r="22">
      <c r="A22" s="65" t="inlineStr">
        <is>
          <t>Note: "n" = number of customers in cohort at M+0. Red = n&lt;3, Amber = n&lt;5. With cohorts of 1–7 customers, single-customer events drive step-function changes. Retention curves are more reliable for cohorts with n≥10.</t>
        </is>
      </c>
    </row>
  </sheetData>
  <mergeCells count="2">
    <mergeCell ref="A22:Z22"/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</cols>
  <sheetData>
    <row r="1" ht="28" customHeight="1">
      <c r="A1" s="1" t="inlineStr">
        <is>
          <t>LTV : CAC Analysis  |  By Segment  |  GM% = 72%</t>
        </is>
      </c>
    </row>
    <row r="3" ht="20" customHeight="1">
      <c r="A3" s="2" t="inlineStr">
        <is>
          <t>Period</t>
        </is>
      </c>
      <c r="B3" s="2" t="inlineStr">
        <is>
          <t>Segment</t>
        </is>
      </c>
      <c r="C3" s="2" t="inlineStr">
        <is>
          <t>Active Custs</t>
        </is>
      </c>
      <c r="D3" s="2" t="inlineStr">
        <is>
          <t>Avg MRR</t>
        </is>
      </c>
      <c r="E3" s="2" t="inlineStr">
        <is>
          <t>Churn Rate</t>
        </is>
      </c>
      <c r="F3" s="2" t="inlineStr">
        <is>
          <t>LTV</t>
        </is>
      </c>
      <c r="G3" s="2" t="inlineStr">
        <is>
          <t>CAC</t>
        </is>
      </c>
      <c r="H3" s="2" t="inlineStr">
        <is>
          <t>LTV:CAC</t>
        </is>
      </c>
      <c r="I3" s="2" t="inlineStr">
        <is>
          <t>Payback (mo)</t>
        </is>
      </c>
    </row>
    <row r="4" ht="16" customHeight="1">
      <c r="A4" s="3" t="inlineStr">
        <is>
          <t>2023-01</t>
        </is>
      </c>
      <c r="B4" s="3" t="inlineStr">
        <is>
          <t>SMB</t>
        </is>
      </c>
      <c r="C4" s="14" t="n">
        <v>4</v>
      </c>
      <c r="D4" s="11" t="n">
        <v>4099.41</v>
      </c>
      <c r="E4" s="37" t="n">
        <v>0.005</v>
      </c>
      <c r="F4" s="11" t="n">
        <v>177094</v>
      </c>
      <c r="G4" s="11" t="n">
        <v>19192</v>
      </c>
      <c r="H4" s="38" t="n">
        <v>9.199999999999999</v>
      </c>
      <c r="I4" s="39" t="n">
        <v>6.5</v>
      </c>
    </row>
    <row r="5" ht="16" customHeight="1">
      <c r="A5" s="5" t="inlineStr">
        <is>
          <t>2023-02</t>
        </is>
      </c>
      <c r="B5" s="5" t="inlineStr">
        <is>
          <t>SMB</t>
        </is>
      </c>
      <c r="C5" s="18" t="n">
        <v>5</v>
      </c>
      <c r="D5" s="15" t="n">
        <v>3560.4</v>
      </c>
      <c r="E5" s="40" t="n">
        <v>0.005</v>
      </c>
      <c r="F5" s="15" t="n">
        <v>153809</v>
      </c>
      <c r="G5" s="15" t="n">
        <v>4667</v>
      </c>
      <c r="H5" s="41" t="n">
        <v>33</v>
      </c>
      <c r="I5" s="42" t="n">
        <v>1.8</v>
      </c>
    </row>
    <row r="6" ht="16" customHeight="1">
      <c r="A6" s="3" t="inlineStr">
        <is>
          <t>2023-02</t>
        </is>
      </c>
      <c r="B6" s="3" t="inlineStr">
        <is>
          <t>Enterprise</t>
        </is>
      </c>
      <c r="C6" s="14" t="n">
        <v>1</v>
      </c>
      <c r="D6" s="11" t="n">
        <v>8808</v>
      </c>
      <c r="E6" s="37" t="n">
        <v>0.005</v>
      </c>
      <c r="F6" s="11" t="n">
        <v>380506</v>
      </c>
      <c r="G6" s="11" t="n">
        <v>45298</v>
      </c>
      <c r="H6" s="38" t="n">
        <v>8.4</v>
      </c>
      <c r="I6" s="39" t="n">
        <v>7.1</v>
      </c>
    </row>
    <row r="7" ht="16" customHeight="1">
      <c r="A7" s="5" t="inlineStr">
        <is>
          <t>2023-03</t>
        </is>
      </c>
      <c r="B7" s="5" t="inlineStr">
        <is>
          <t>SMB</t>
        </is>
      </c>
      <c r="C7" s="18" t="n">
        <v>6</v>
      </c>
      <c r="D7" s="15" t="n">
        <v>3083.36</v>
      </c>
      <c r="E7" s="40" t="n">
        <v>0.005</v>
      </c>
      <c r="F7" s="15" t="n">
        <v>133201</v>
      </c>
      <c r="G7" s="15" t="n">
        <v>2908</v>
      </c>
      <c r="H7" s="41" t="n">
        <v>45.8</v>
      </c>
      <c r="I7" s="42" t="n">
        <v>1.3</v>
      </c>
    </row>
    <row r="8" ht="16" customHeight="1">
      <c r="A8" s="3" t="inlineStr">
        <is>
          <t>2023-03</t>
        </is>
      </c>
      <c r="B8" s="3" t="inlineStr">
        <is>
          <t>Mid-Market</t>
        </is>
      </c>
      <c r="C8" s="14" t="n">
        <v>2</v>
      </c>
      <c r="D8" s="11" t="n">
        <v>5048.97</v>
      </c>
      <c r="E8" s="37" t="n">
        <v>0.005</v>
      </c>
      <c r="F8" s="11" t="n">
        <v>218116</v>
      </c>
      <c r="G8" s="11" t="n">
        <v>37527</v>
      </c>
      <c r="H8" s="38" t="n">
        <v>5.8</v>
      </c>
      <c r="I8" s="39" t="n">
        <v>10.3</v>
      </c>
    </row>
    <row r="9" ht="16" customHeight="1">
      <c r="A9" s="5" t="inlineStr">
        <is>
          <t>2023-03</t>
        </is>
      </c>
      <c r="B9" s="5" t="inlineStr">
        <is>
          <t>Enterprise</t>
        </is>
      </c>
      <c r="C9" s="18" t="n">
        <v>2</v>
      </c>
      <c r="D9" s="15" t="n">
        <v>5924.92</v>
      </c>
      <c r="E9" s="40" t="n">
        <v>0.005</v>
      </c>
      <c r="F9" s="15" t="n">
        <v>255957</v>
      </c>
      <c r="G9" s="15" t="n">
        <v>15644</v>
      </c>
      <c r="H9" s="41" t="n">
        <v>16.4</v>
      </c>
      <c r="I9" s="42" t="n">
        <v>3.7</v>
      </c>
    </row>
    <row r="10" ht="16" customHeight="1">
      <c r="A10" s="3" t="inlineStr">
        <is>
          <t>2023-04</t>
        </is>
      </c>
      <c r="B10" s="3" t="inlineStr">
        <is>
          <t>SMB</t>
        </is>
      </c>
      <c r="C10" s="14" t="n">
        <v>9</v>
      </c>
      <c r="D10" s="11" t="n">
        <v>2523.05</v>
      </c>
      <c r="E10" s="37" t="n">
        <v>0.005</v>
      </c>
      <c r="F10" s="11" t="n">
        <v>108996</v>
      </c>
      <c r="G10" s="11" t="n">
        <v>5316</v>
      </c>
      <c r="H10" s="38" t="n">
        <v>20.5</v>
      </c>
      <c r="I10" s="39" t="n">
        <v>2.9</v>
      </c>
    </row>
    <row r="11" ht="16" customHeight="1">
      <c r="A11" s="5" t="inlineStr">
        <is>
          <t>2023-04</t>
        </is>
      </c>
      <c r="B11" s="5" t="inlineStr">
        <is>
          <t>Mid-Market</t>
        </is>
      </c>
      <c r="C11" s="18" t="n">
        <v>3</v>
      </c>
      <c r="D11" s="15" t="n">
        <v>6704.16</v>
      </c>
      <c r="E11" s="40" t="n">
        <v>0.005</v>
      </c>
      <c r="F11" s="15" t="n">
        <v>289620</v>
      </c>
      <c r="G11" s="15" t="n">
        <v>41203</v>
      </c>
      <c r="H11" s="41" t="n">
        <v>7</v>
      </c>
      <c r="I11" s="42" t="n">
        <v>8.5</v>
      </c>
    </row>
    <row r="12" ht="16" customHeight="1">
      <c r="A12" s="3" t="inlineStr">
        <is>
          <t>2023-04</t>
        </is>
      </c>
      <c r="B12" s="3" t="inlineStr">
        <is>
          <t>Enterprise</t>
        </is>
      </c>
      <c r="C12" s="14" t="n">
        <v>4</v>
      </c>
      <c r="D12" s="11" t="n">
        <v>7138.5</v>
      </c>
      <c r="E12" s="37" t="n">
        <v>0.005</v>
      </c>
      <c r="F12" s="11" t="n">
        <v>308383</v>
      </c>
      <c r="G12" s="11" t="n">
        <v>71825</v>
      </c>
      <c r="H12" s="38" t="n">
        <v>4.3</v>
      </c>
      <c r="I12" s="39" t="n">
        <v>14</v>
      </c>
    </row>
    <row r="13" ht="16" customHeight="1">
      <c r="A13" s="5" t="inlineStr">
        <is>
          <t>2023-05</t>
        </is>
      </c>
      <c r="B13" s="5" t="inlineStr">
        <is>
          <t>SMB</t>
        </is>
      </c>
      <c r="C13" s="18" t="n">
        <v>9</v>
      </c>
      <c r="D13" s="15" t="n">
        <v>2582.29</v>
      </c>
      <c r="E13" s="40" t="n">
        <v>0.005</v>
      </c>
      <c r="F13" s="15" t="n">
        <v>111555</v>
      </c>
      <c r="G13" s="15" t="n">
        <v>3250</v>
      </c>
      <c r="H13" s="41" t="n">
        <v>34.3</v>
      </c>
      <c r="I13" s="42" t="n">
        <v>1.7</v>
      </c>
    </row>
    <row r="14" ht="16" customHeight="1">
      <c r="A14" s="3" t="inlineStr">
        <is>
          <t>2023-05</t>
        </is>
      </c>
      <c r="B14" s="3" t="inlineStr">
        <is>
          <t>Mid-Market</t>
        </is>
      </c>
      <c r="C14" s="14" t="n">
        <v>4</v>
      </c>
      <c r="D14" s="11" t="n">
        <v>6456.74</v>
      </c>
      <c r="E14" s="37" t="n">
        <v>0.005</v>
      </c>
      <c r="F14" s="11" t="n">
        <v>278931</v>
      </c>
      <c r="G14" s="11" t="n">
        <v>47022</v>
      </c>
      <c r="H14" s="38" t="n">
        <v>5.9</v>
      </c>
      <c r="I14" s="39" t="n">
        <v>10.1</v>
      </c>
    </row>
    <row r="15" ht="16" customHeight="1">
      <c r="A15" s="5" t="inlineStr">
        <is>
          <t>2023-06</t>
        </is>
      </c>
      <c r="B15" s="5" t="inlineStr">
        <is>
          <t>SMB</t>
        </is>
      </c>
      <c r="C15" s="18" t="n">
        <v>10</v>
      </c>
      <c r="D15" s="15" t="n">
        <v>2363.25</v>
      </c>
      <c r="E15" s="40" t="n">
        <v>0.005</v>
      </c>
      <c r="F15" s="15" t="n">
        <v>102092</v>
      </c>
      <c r="G15" s="15" t="n">
        <v>2120</v>
      </c>
      <c r="H15" s="41" t="n">
        <v>48.2</v>
      </c>
      <c r="I15" s="42" t="n">
        <v>1.2</v>
      </c>
    </row>
    <row r="16" ht="16" customHeight="1">
      <c r="A16" s="3" t="inlineStr">
        <is>
          <t>2023-06</t>
        </is>
      </c>
      <c r="B16" s="3" t="inlineStr">
        <is>
          <t>Mid-Market</t>
        </is>
      </c>
      <c r="C16" s="14" t="n">
        <v>6</v>
      </c>
      <c r="D16" s="11" t="n">
        <v>5731.01</v>
      </c>
      <c r="E16" s="37" t="n">
        <v>0.005</v>
      </c>
      <c r="F16" s="11" t="n">
        <v>247580</v>
      </c>
      <c r="G16" s="11" t="n">
        <v>17607</v>
      </c>
      <c r="H16" s="38" t="n">
        <v>14.1</v>
      </c>
      <c r="I16" s="39" t="n">
        <v>4.3</v>
      </c>
    </row>
    <row r="17" ht="16" customHeight="1">
      <c r="A17" s="5" t="inlineStr">
        <is>
          <t>2023-06</t>
        </is>
      </c>
      <c r="B17" s="5" t="inlineStr">
        <is>
          <t>Enterprise</t>
        </is>
      </c>
      <c r="C17" s="18" t="n">
        <v>8</v>
      </c>
      <c r="D17" s="15" t="n">
        <v>7454.04</v>
      </c>
      <c r="E17" s="40" t="n">
        <v>0.005</v>
      </c>
      <c r="F17" s="15" t="n">
        <v>322015</v>
      </c>
      <c r="G17" s="15" t="n">
        <v>71793</v>
      </c>
      <c r="H17" s="41" t="n">
        <v>4.5</v>
      </c>
      <c r="I17" s="42" t="n">
        <v>13.4</v>
      </c>
    </row>
    <row r="18" ht="16" customHeight="1">
      <c r="A18" s="3" t="inlineStr">
        <is>
          <t>2023-07</t>
        </is>
      </c>
      <c r="B18" s="3" t="inlineStr">
        <is>
          <t>Mid-Market</t>
        </is>
      </c>
      <c r="C18" s="14" t="n">
        <v>8</v>
      </c>
      <c r="D18" s="11" t="n">
        <v>5286.66</v>
      </c>
      <c r="E18" s="37" t="n">
        <v>0.005</v>
      </c>
      <c r="F18" s="11" t="n">
        <v>228384</v>
      </c>
      <c r="G18" s="11" t="n">
        <v>30608</v>
      </c>
      <c r="H18" s="38" t="n">
        <v>7.5</v>
      </c>
      <c r="I18" s="39" t="n">
        <v>8</v>
      </c>
    </row>
    <row r="19" ht="16" customHeight="1">
      <c r="A19" s="5" t="inlineStr">
        <is>
          <t>2023-08</t>
        </is>
      </c>
      <c r="B19" s="5" t="inlineStr">
        <is>
          <t>SMB</t>
        </is>
      </c>
      <c r="C19" s="18" t="n">
        <v>13</v>
      </c>
      <c r="D19" s="15" t="n">
        <v>2520.87</v>
      </c>
      <c r="E19" s="40" t="n">
        <v>0.005</v>
      </c>
      <c r="F19" s="15" t="n">
        <v>108902</v>
      </c>
      <c r="G19" s="15" t="n">
        <v>11657</v>
      </c>
      <c r="H19" s="41" t="n">
        <v>9.300000000000001</v>
      </c>
      <c r="I19" s="42" t="n">
        <v>6.4</v>
      </c>
    </row>
    <row r="20" ht="16" customHeight="1">
      <c r="A20" s="3" t="inlineStr">
        <is>
          <t>2023-08</t>
        </is>
      </c>
      <c r="B20" s="3" t="inlineStr">
        <is>
          <t>Mid-Market</t>
        </is>
      </c>
      <c r="C20" s="14" t="n">
        <v>10</v>
      </c>
      <c r="D20" s="11" t="n">
        <v>5344.66</v>
      </c>
      <c r="E20" s="37" t="n">
        <v>0.005</v>
      </c>
      <c r="F20" s="11" t="n">
        <v>230889</v>
      </c>
      <c r="G20" s="11" t="n">
        <v>33452</v>
      </c>
      <c r="H20" s="38" t="n">
        <v>6.9</v>
      </c>
      <c r="I20" s="39" t="n">
        <v>8.699999999999999</v>
      </c>
    </row>
    <row r="21" ht="16" customHeight="1">
      <c r="A21" s="5" t="inlineStr">
        <is>
          <t>2023-09</t>
        </is>
      </c>
      <c r="B21" s="5" t="inlineStr">
        <is>
          <t>SMB</t>
        </is>
      </c>
      <c r="C21" s="18" t="n">
        <v>14</v>
      </c>
      <c r="D21" s="15" t="n">
        <v>2316.22</v>
      </c>
      <c r="E21" s="40" t="n">
        <v>0.005</v>
      </c>
      <c r="F21" s="15" t="n">
        <v>100061</v>
      </c>
      <c r="G21" s="15" t="n">
        <v>3334</v>
      </c>
      <c r="H21" s="41" t="n">
        <v>30</v>
      </c>
      <c r="I21" s="42" t="n">
        <v>2</v>
      </c>
    </row>
    <row r="22" ht="16" customHeight="1">
      <c r="A22" s="3" t="inlineStr">
        <is>
          <t>2023-09</t>
        </is>
      </c>
      <c r="B22" s="3" t="inlineStr">
        <is>
          <t>Enterprise</t>
        </is>
      </c>
      <c r="C22" s="14" t="n">
        <v>9</v>
      </c>
      <c r="D22" s="11" t="n">
        <v>7153.2</v>
      </c>
      <c r="E22" s="37" t="n">
        <v>0.005</v>
      </c>
      <c r="F22" s="11" t="n">
        <v>309018</v>
      </c>
      <c r="G22" s="11" t="n">
        <v>10929</v>
      </c>
      <c r="H22" s="38" t="n">
        <v>28.3</v>
      </c>
      <c r="I22" s="39" t="n">
        <v>2.1</v>
      </c>
    </row>
    <row r="23" ht="16" customHeight="1">
      <c r="A23" s="5" t="inlineStr">
        <is>
          <t>2023-10</t>
        </is>
      </c>
      <c r="B23" s="5" t="inlineStr">
        <is>
          <t>SMB</t>
        </is>
      </c>
      <c r="C23" s="18" t="n">
        <v>15</v>
      </c>
      <c r="D23" s="15" t="n">
        <v>2293.6</v>
      </c>
      <c r="E23" s="40" t="n">
        <v>0.005</v>
      </c>
      <c r="F23" s="15" t="n">
        <v>99084</v>
      </c>
      <c r="G23" s="15" t="n">
        <v>4208</v>
      </c>
      <c r="H23" s="41" t="n">
        <v>23.5</v>
      </c>
      <c r="I23" s="42" t="n">
        <v>2.5</v>
      </c>
    </row>
    <row r="24" ht="16" customHeight="1">
      <c r="A24" s="3" t="inlineStr">
        <is>
          <t>2023-10</t>
        </is>
      </c>
      <c r="B24" s="3" t="inlineStr">
        <is>
          <t>Mid-Market</t>
        </is>
      </c>
      <c r="C24" s="14" t="n">
        <v>11</v>
      </c>
      <c r="D24" s="11" t="n">
        <v>5371.06</v>
      </c>
      <c r="E24" s="37" t="n">
        <v>0.005</v>
      </c>
      <c r="F24" s="11" t="n">
        <v>232030</v>
      </c>
      <c r="G24" s="11" t="n">
        <v>23816</v>
      </c>
      <c r="H24" s="38" t="n">
        <v>9.699999999999999</v>
      </c>
      <c r="I24" s="39" t="n">
        <v>6.2</v>
      </c>
    </row>
    <row r="25" ht="16" customHeight="1">
      <c r="A25" s="5" t="inlineStr">
        <is>
          <t>2023-11</t>
        </is>
      </c>
      <c r="B25" s="5" t="inlineStr">
        <is>
          <t>Mid-Market</t>
        </is>
      </c>
      <c r="C25" s="18" t="n">
        <v>12</v>
      </c>
      <c r="D25" s="15" t="n">
        <v>5522.97</v>
      </c>
      <c r="E25" s="40" t="n">
        <v>0.005</v>
      </c>
      <c r="F25" s="15" t="n">
        <v>238592</v>
      </c>
      <c r="G25" s="15" t="n">
        <v>22244</v>
      </c>
      <c r="H25" s="41" t="n">
        <v>10.7</v>
      </c>
      <c r="I25" s="42" t="n">
        <v>5.6</v>
      </c>
    </row>
    <row r="26" ht="16" customHeight="1">
      <c r="A26" s="3" t="inlineStr">
        <is>
          <t>2023-11</t>
        </is>
      </c>
      <c r="B26" s="3" t="inlineStr">
        <is>
          <t>Enterprise</t>
        </is>
      </c>
      <c r="C26" s="14" t="n">
        <v>10</v>
      </c>
      <c r="D26" s="11" t="n">
        <v>7347.28</v>
      </c>
      <c r="E26" s="37" t="n">
        <v>0.005</v>
      </c>
      <c r="F26" s="11" t="n">
        <v>317402</v>
      </c>
      <c r="G26" s="11" t="n">
        <v>22886</v>
      </c>
      <c r="H26" s="38" t="n">
        <v>13.9</v>
      </c>
      <c r="I26" s="39" t="n">
        <v>4.3</v>
      </c>
    </row>
    <row r="27" ht="16" customHeight="1">
      <c r="A27" s="5" t="inlineStr">
        <is>
          <t>2023-12</t>
        </is>
      </c>
      <c r="B27" s="5" t="inlineStr">
        <is>
          <t>SMB</t>
        </is>
      </c>
      <c r="C27" s="18" t="n">
        <v>17</v>
      </c>
      <c r="D27" s="15" t="n">
        <v>2224.65</v>
      </c>
      <c r="E27" s="40" t="n">
        <v>0.005</v>
      </c>
      <c r="F27" s="15" t="n">
        <v>96105</v>
      </c>
      <c r="G27" s="15" t="n">
        <v>5055</v>
      </c>
      <c r="H27" s="41" t="n">
        <v>19</v>
      </c>
      <c r="I27" s="42" t="n">
        <v>3.2</v>
      </c>
    </row>
    <row r="28" ht="16" customHeight="1">
      <c r="A28" s="3" t="inlineStr">
        <is>
          <t>2024-01</t>
        </is>
      </c>
      <c r="B28" s="3" t="inlineStr">
        <is>
          <t>Mid-Market</t>
        </is>
      </c>
      <c r="C28" s="14" t="n">
        <v>12</v>
      </c>
      <c r="D28" s="11" t="n">
        <v>5589.31</v>
      </c>
      <c r="E28" s="37" t="n">
        <v>0.0105</v>
      </c>
      <c r="F28" s="11" t="n">
        <v>241458</v>
      </c>
      <c r="G28" s="11" t="n">
        <v>20086</v>
      </c>
      <c r="H28" s="38" t="n">
        <v>12</v>
      </c>
      <c r="I28" s="39" t="n">
        <v>5</v>
      </c>
    </row>
    <row r="29" ht="16" customHeight="1">
      <c r="A29" s="5" t="inlineStr">
        <is>
          <t>2024-01</t>
        </is>
      </c>
      <c r="B29" s="5" t="inlineStr">
        <is>
          <t>Enterprise</t>
        </is>
      </c>
      <c r="C29" s="18" t="n">
        <v>11</v>
      </c>
      <c r="D29" s="15" t="n">
        <v>7728.88</v>
      </c>
      <c r="E29" s="40" t="n">
        <v>0.005</v>
      </c>
      <c r="F29" s="15" t="n">
        <v>333887</v>
      </c>
      <c r="G29" s="15" t="n">
        <v>63441</v>
      </c>
      <c r="H29" s="41" t="n">
        <v>5.3</v>
      </c>
      <c r="I29" s="42" t="n">
        <v>11.4</v>
      </c>
    </row>
    <row r="30" ht="16" customHeight="1">
      <c r="A30" s="3" t="inlineStr">
        <is>
          <t>2024-02</t>
        </is>
      </c>
      <c r="B30" s="3" t="inlineStr">
        <is>
          <t>SMB</t>
        </is>
      </c>
      <c r="C30" s="14" t="n">
        <v>18</v>
      </c>
      <c r="D30" s="11" t="n">
        <v>2254.16</v>
      </c>
      <c r="E30" s="37" t="n">
        <v>0.0173</v>
      </c>
      <c r="F30" s="11" t="n">
        <v>93852</v>
      </c>
      <c r="G30" s="11" t="n">
        <v>10023</v>
      </c>
      <c r="H30" s="38" t="n">
        <v>9.4</v>
      </c>
      <c r="I30" s="39" t="n">
        <v>6.2</v>
      </c>
    </row>
    <row r="31" ht="16" customHeight="1">
      <c r="A31" s="5" t="inlineStr">
        <is>
          <t>2024-02</t>
        </is>
      </c>
      <c r="B31" s="5" t="inlineStr">
        <is>
          <t>Mid-Market</t>
        </is>
      </c>
      <c r="C31" s="18" t="n">
        <v>13</v>
      </c>
      <c r="D31" s="15" t="n">
        <v>5224.55</v>
      </c>
      <c r="E31" s="40" t="n">
        <v>0.0101</v>
      </c>
      <c r="F31" s="15" t="n">
        <v>225701</v>
      </c>
      <c r="G31" s="15" t="n">
        <v>7464</v>
      </c>
      <c r="H31" s="41" t="n">
        <v>30.2</v>
      </c>
      <c r="I31" s="42" t="n">
        <v>2</v>
      </c>
    </row>
    <row r="32" ht="16" customHeight="1">
      <c r="A32" s="3" t="inlineStr">
        <is>
          <t>2024-02</t>
        </is>
      </c>
      <c r="B32" s="3" t="inlineStr">
        <is>
          <t>Enterprise</t>
        </is>
      </c>
      <c r="C32" s="14" t="n">
        <v>12</v>
      </c>
      <c r="D32" s="11" t="n">
        <v>8472.469999999999</v>
      </c>
      <c r="E32" s="37" t="n">
        <v>0.005</v>
      </c>
      <c r="F32" s="11" t="n">
        <v>366011</v>
      </c>
      <c r="G32" s="11" t="n">
        <v>84652</v>
      </c>
      <c r="H32" s="38" t="n">
        <v>4.3</v>
      </c>
      <c r="I32" s="39" t="n">
        <v>13.9</v>
      </c>
    </row>
    <row r="33" ht="16" customHeight="1">
      <c r="A33" s="5" t="inlineStr">
        <is>
          <t>2024-03</t>
        </is>
      </c>
      <c r="B33" s="5" t="inlineStr">
        <is>
          <t>Mid-Market</t>
        </is>
      </c>
      <c r="C33" s="18" t="n">
        <v>14</v>
      </c>
      <c r="D33" s="15" t="n">
        <v>5084.96</v>
      </c>
      <c r="E33" s="40" t="n">
        <v>0.0091</v>
      </c>
      <c r="F33" s="15" t="n">
        <v>219670</v>
      </c>
      <c r="G33" s="15" t="n">
        <v>7497</v>
      </c>
      <c r="H33" s="41" t="n">
        <v>29.3</v>
      </c>
      <c r="I33" s="42" t="n">
        <v>2</v>
      </c>
    </row>
    <row r="34" ht="16" customHeight="1">
      <c r="A34" s="3" t="inlineStr">
        <is>
          <t>2024-03</t>
        </is>
      </c>
      <c r="B34" s="3" t="inlineStr">
        <is>
          <t>Enterprise</t>
        </is>
      </c>
      <c r="C34" s="14" t="n">
        <v>13</v>
      </c>
      <c r="D34" s="11" t="n">
        <v>7928.84</v>
      </c>
      <c r="E34" s="37" t="n">
        <v>0.005</v>
      </c>
      <c r="F34" s="11" t="n">
        <v>342526</v>
      </c>
      <c r="G34" s="11" t="n">
        <v>8976</v>
      </c>
      <c r="H34" s="38" t="n">
        <v>38.2</v>
      </c>
      <c r="I34" s="39" t="n">
        <v>1.6</v>
      </c>
    </row>
    <row r="35" ht="16" customHeight="1">
      <c r="A35" s="5" t="inlineStr">
        <is>
          <t>2024-04</t>
        </is>
      </c>
      <c r="B35" s="5" t="inlineStr">
        <is>
          <t>SMB</t>
        </is>
      </c>
      <c r="C35" s="18" t="n">
        <v>17</v>
      </c>
      <c r="D35" s="15" t="n">
        <v>2007.31</v>
      </c>
      <c r="E35" s="40" t="n">
        <v>0.0144</v>
      </c>
      <c r="F35" s="15" t="n">
        <v>86716</v>
      </c>
      <c r="G35" s="15" t="n">
        <v>1273</v>
      </c>
      <c r="H35" s="41" t="n">
        <v>68.09999999999999</v>
      </c>
      <c r="I35" s="42" t="n">
        <v>0.9</v>
      </c>
    </row>
    <row r="36" ht="16" customHeight="1">
      <c r="A36" s="3" t="inlineStr">
        <is>
          <t>2024-04</t>
        </is>
      </c>
      <c r="B36" s="3" t="inlineStr">
        <is>
          <t>Mid-Market</t>
        </is>
      </c>
      <c r="C36" s="14" t="n">
        <v>15</v>
      </c>
      <c r="D36" s="11" t="n">
        <v>5017.93</v>
      </c>
      <c r="E36" s="37" t="n">
        <v>0.0126</v>
      </c>
      <c r="F36" s="11" t="n">
        <v>216775</v>
      </c>
      <c r="G36" s="11" t="n">
        <v>26963</v>
      </c>
      <c r="H36" s="38" t="n">
        <v>8</v>
      </c>
      <c r="I36" s="39" t="n">
        <v>7.5</v>
      </c>
    </row>
    <row r="37" ht="16" customHeight="1">
      <c r="A37" s="5" t="inlineStr">
        <is>
          <t>2024-04</t>
        </is>
      </c>
      <c r="B37" s="5" t="inlineStr">
        <is>
          <t>Enterprise</t>
        </is>
      </c>
      <c r="C37" s="18" t="n">
        <v>14</v>
      </c>
      <c r="D37" s="15" t="n">
        <v>7505.36</v>
      </c>
      <c r="E37" s="40" t="n">
        <v>0.005</v>
      </c>
      <c r="F37" s="15" t="n">
        <v>324231</v>
      </c>
      <c r="G37" s="15" t="n">
        <v>10286</v>
      </c>
      <c r="H37" s="41" t="n">
        <v>31.5</v>
      </c>
      <c r="I37" s="42" t="n">
        <v>1.9</v>
      </c>
    </row>
    <row r="38" ht="16" customHeight="1">
      <c r="A38" s="3" t="inlineStr">
        <is>
          <t>2024-05</t>
        </is>
      </c>
      <c r="B38" s="3" t="inlineStr">
        <is>
          <t>Enterprise</t>
        </is>
      </c>
      <c r="C38" s="14" t="n">
        <v>15</v>
      </c>
      <c r="D38" s="11" t="n">
        <v>7804.32</v>
      </c>
      <c r="E38" s="37" t="n">
        <v>0.0127</v>
      </c>
      <c r="F38" s="11" t="n">
        <v>337147</v>
      </c>
      <c r="G38" s="11" t="n">
        <v>205939</v>
      </c>
      <c r="H38" s="43" t="n">
        <v>1.6</v>
      </c>
      <c r="I38" s="39" t="n">
        <v>36.6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3" customWidth="1" min="4" max="4"/>
    <col width="14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Billings vs Revenue Reconciliation  |  ASC 606 Bridge</t>
        </is>
      </c>
    </row>
    <row r="3" ht="20" customHeight="1">
      <c r="A3" s="2" t="inlineStr">
        <is>
          <t>Period</t>
        </is>
      </c>
      <c r="B3" s="2" t="inlineStr">
        <is>
          <t>Billings</t>
        </is>
      </c>
      <c r="C3" s="2" t="inlineStr">
        <is>
          <t>Revenue Recog.</t>
        </is>
      </c>
      <c r="D3" s="2" t="inlineStr">
        <is>
          <t>Impl Fee (incl)</t>
        </is>
      </c>
      <c r="E3" s="2" t="inlineStr">
        <is>
          <t>Δ Billed-Recog</t>
        </is>
      </c>
      <c r="F3" s="2" t="inlineStr">
        <is>
          <t>Deferred Rev</t>
        </is>
      </c>
      <c r="G3" s="2" t="inlineStr">
        <is>
          <t>Contract Asset</t>
        </is>
      </c>
      <c r="H3" s="2" t="inlineStr">
        <is>
          <t>Net Position</t>
        </is>
      </c>
    </row>
    <row r="4" ht="16" customHeight="1">
      <c r="A4" s="3" t="inlineStr">
        <is>
          <t>2023-01</t>
        </is>
      </c>
      <c r="B4" s="11" t="n">
        <v>64919.07</v>
      </c>
      <c r="C4" s="11" t="n">
        <v>17809.91</v>
      </c>
      <c r="D4" s="11" t="n">
        <v>1412.28</v>
      </c>
      <c r="E4" s="44" t="n">
        <v>47109.16</v>
      </c>
      <c r="F4" s="11" t="n">
        <v>47109.16</v>
      </c>
      <c r="G4" s="11" t="n">
        <v>0</v>
      </c>
      <c r="H4" s="44" t="n">
        <v>-47109.16</v>
      </c>
    </row>
    <row r="5" ht="16" customHeight="1">
      <c r="A5" s="5" t="inlineStr">
        <is>
          <t>2023-02</t>
        </is>
      </c>
      <c r="B5" s="15" t="n">
        <v>39814.96</v>
      </c>
      <c r="C5" s="15" t="n">
        <v>28022.28</v>
      </c>
      <c r="D5" s="15" t="n">
        <v>1412.28</v>
      </c>
      <c r="E5" s="45" t="n">
        <v>11792.68</v>
      </c>
      <c r="F5" s="15" t="n">
        <v>58901.84</v>
      </c>
      <c r="G5" s="15" t="n">
        <v>0</v>
      </c>
      <c r="H5" s="45" t="n">
        <v>-58901.84</v>
      </c>
    </row>
    <row r="6" ht="16" customHeight="1">
      <c r="A6" s="3" t="inlineStr">
        <is>
          <t>2023-03</t>
        </is>
      </c>
      <c r="B6" s="11" t="n">
        <v>64596.55</v>
      </c>
      <c r="C6" s="11" t="n">
        <v>39948.37</v>
      </c>
      <c r="D6" s="11" t="n">
        <v>3488.13</v>
      </c>
      <c r="E6" s="44" t="n">
        <v>24648.18</v>
      </c>
      <c r="F6" s="11" t="n">
        <v>64311.36</v>
      </c>
      <c r="G6" s="11" t="n">
        <v>0</v>
      </c>
      <c r="H6" s="44" t="n">
        <v>-64311.36</v>
      </c>
    </row>
    <row r="7" ht="16" customHeight="1">
      <c r="A7" s="5" t="inlineStr">
        <is>
          <t>2023-04</t>
        </is>
      </c>
      <c r="B7" s="15" t="n">
        <v>225397.29</v>
      </c>
      <c r="C7" s="15" t="n">
        <v>66617.10000000001</v>
      </c>
      <c r="D7" s="15" t="n">
        <v>4064.48</v>
      </c>
      <c r="E7" s="45" t="n">
        <v>158780.19</v>
      </c>
      <c r="F7" s="15" t="n">
        <v>198055.45</v>
      </c>
      <c r="G7" s="15" t="n">
        <v>0</v>
      </c>
      <c r="H7" s="45" t="n">
        <v>-198055.45</v>
      </c>
    </row>
    <row r="8" ht="16" customHeight="1">
      <c r="A8" s="3" t="inlineStr">
        <is>
          <t>2023-05</t>
        </is>
      </c>
      <c r="B8" s="11" t="n">
        <v>61099.29</v>
      </c>
      <c r="C8" s="11" t="n">
        <v>71312.07000000001</v>
      </c>
      <c r="D8" s="11" t="n">
        <v>4064.48</v>
      </c>
      <c r="E8" s="44" t="n">
        <v>-10212.78</v>
      </c>
      <c r="F8" s="11" t="n">
        <v>186511.4</v>
      </c>
      <c r="G8" s="11" t="n">
        <v>0</v>
      </c>
      <c r="H8" s="44" t="n">
        <v>-186511.4</v>
      </c>
    </row>
    <row r="9" ht="16" customHeight="1">
      <c r="A9" s="5" t="inlineStr">
        <is>
          <t>2023-06</t>
        </is>
      </c>
      <c r="B9" s="15" t="n">
        <v>342688.91</v>
      </c>
      <c r="C9" s="15" t="n">
        <v>112040.62</v>
      </c>
      <c r="D9" s="15" t="n">
        <v>4763.73</v>
      </c>
      <c r="E9" s="45" t="n">
        <v>230648.29</v>
      </c>
      <c r="F9" s="15" t="n">
        <v>416843.09</v>
      </c>
      <c r="G9" s="15" t="n">
        <v>1014.67</v>
      </c>
      <c r="H9" s="45" t="n">
        <v>-415828.42</v>
      </c>
    </row>
    <row r="10" ht="16" customHeight="1">
      <c r="A10" s="3" t="inlineStr">
        <is>
          <t>2023-07</t>
        </is>
      </c>
      <c r="B10" s="11" t="n">
        <v>92337.06</v>
      </c>
      <c r="C10" s="11" t="n">
        <v>120232.04</v>
      </c>
      <c r="D10" s="11" t="n">
        <v>4763.73</v>
      </c>
      <c r="E10" s="44" t="n">
        <v>-27894.98</v>
      </c>
      <c r="F10" s="11" t="n">
        <v>371035.39</v>
      </c>
      <c r="G10" s="11" t="n">
        <v>606.59</v>
      </c>
      <c r="H10" s="44" t="n">
        <v>-370428.8</v>
      </c>
    </row>
    <row r="11" ht="16" customHeight="1">
      <c r="A11" s="5" t="inlineStr">
        <is>
          <t>2023-08</t>
        </is>
      </c>
      <c r="B11" s="15" t="n">
        <v>131034.43</v>
      </c>
      <c r="C11" s="15" t="n">
        <v>142775.92</v>
      </c>
      <c r="D11" s="15" t="n">
        <v>6481.81</v>
      </c>
      <c r="E11" s="45" t="n">
        <v>-11741.49</v>
      </c>
      <c r="F11" s="15" t="n">
        <v>359926.89</v>
      </c>
      <c r="G11" s="15" t="n">
        <v>3800.89</v>
      </c>
      <c r="H11" s="45" t="n">
        <v>-356126</v>
      </c>
    </row>
    <row r="12" ht="16" customHeight="1">
      <c r="A12" s="3" t="inlineStr">
        <is>
          <t>2023-09</t>
        </is>
      </c>
      <c r="B12" s="11" t="n">
        <v>103463.51</v>
      </c>
      <c r="C12" s="11" t="n">
        <v>143851.52</v>
      </c>
      <c r="D12" s="11" t="n">
        <v>6481.81</v>
      </c>
      <c r="E12" s="44" t="n">
        <v>-40388.01</v>
      </c>
      <c r="F12" s="11" t="n">
        <v>325220.59</v>
      </c>
      <c r="G12" s="11" t="n">
        <v>12043.91</v>
      </c>
      <c r="H12" s="44" t="n">
        <v>-313176.6800000001</v>
      </c>
    </row>
    <row r="13" ht="16" customHeight="1">
      <c r="A13" s="5" t="inlineStr">
        <is>
          <t>2023-10</t>
        </is>
      </c>
      <c r="B13" s="15" t="n">
        <v>188739.29</v>
      </c>
      <c r="C13" s="15" t="n">
        <v>152582.85</v>
      </c>
      <c r="D13" s="15" t="n">
        <v>6481.81</v>
      </c>
      <c r="E13" s="45" t="n">
        <v>36156.44</v>
      </c>
      <c r="F13" s="15" t="n">
        <v>317844.2</v>
      </c>
      <c r="G13" s="15" t="n">
        <v>15490.21</v>
      </c>
      <c r="H13" s="45" t="n">
        <v>-302353.99</v>
      </c>
    </row>
    <row r="14" ht="16" customHeight="1">
      <c r="A14" s="3" t="inlineStr">
        <is>
          <t>2023-11</t>
        </is>
      </c>
      <c r="B14" s="11" t="n">
        <v>178503.93</v>
      </c>
      <c r="C14" s="11" t="n">
        <v>163473.98</v>
      </c>
      <c r="D14" s="11" t="n">
        <v>6481.81</v>
      </c>
      <c r="E14" s="44" t="n">
        <v>15029.95</v>
      </c>
      <c r="F14" s="11" t="n">
        <v>335065.91</v>
      </c>
      <c r="G14" s="11" t="n">
        <v>24949.03</v>
      </c>
      <c r="H14" s="44" t="n">
        <v>-310116.88</v>
      </c>
    </row>
    <row r="15" ht="16" customHeight="1">
      <c r="A15" s="5" t="inlineStr">
        <is>
          <t>2023-12</t>
        </is>
      </c>
      <c r="B15" s="15" t="n">
        <v>119312.66</v>
      </c>
      <c r="C15" s="15" t="n">
        <v>167225.92</v>
      </c>
      <c r="D15" s="15" t="n">
        <v>6833.85</v>
      </c>
      <c r="E15" s="45" t="n">
        <v>-47913.26</v>
      </c>
      <c r="F15" s="15" t="n">
        <v>289746.11</v>
      </c>
      <c r="G15" s="15" t="n">
        <v>39588.83</v>
      </c>
      <c r="H15" s="45" t="n">
        <v>-250157.28</v>
      </c>
    </row>
    <row r="16" ht="16" customHeight="1">
      <c r="A16" s="3" t="inlineStr">
        <is>
          <t>2024-01</t>
        </is>
      </c>
      <c r="B16" s="11" t="n">
        <v>212108.74</v>
      </c>
      <c r="C16" s="11" t="n">
        <v>179257.46</v>
      </c>
      <c r="D16" s="11" t="n">
        <v>6833.85</v>
      </c>
      <c r="E16" s="44" t="n">
        <v>32851.28</v>
      </c>
      <c r="F16" s="11" t="n">
        <v>304662.26</v>
      </c>
      <c r="G16" s="11" t="n">
        <v>43577.22</v>
      </c>
      <c r="H16" s="44" t="n">
        <v>-261085.04</v>
      </c>
    </row>
    <row r="17" ht="16" customHeight="1">
      <c r="A17" s="5" t="inlineStr">
        <is>
          <t>2024-02</t>
        </is>
      </c>
      <c r="B17" s="15" t="n">
        <v>357009.23</v>
      </c>
      <c r="C17" s="15" t="n">
        <v>200688.45</v>
      </c>
      <c r="D17" s="15" t="n">
        <v>8028.26</v>
      </c>
      <c r="E17" s="45" t="n">
        <v>156320.78</v>
      </c>
      <c r="F17" s="15" t="n">
        <v>453431.5</v>
      </c>
      <c r="G17" s="15" t="n">
        <v>57978.08</v>
      </c>
      <c r="H17" s="45" t="n">
        <v>-395453.42</v>
      </c>
    </row>
    <row r="18" ht="16" customHeight="1">
      <c r="A18" s="3" t="inlineStr">
        <is>
          <t>2024-03</t>
        </is>
      </c>
      <c r="B18" s="11" t="n">
        <v>81928.10000000001</v>
      </c>
      <c r="C18" s="11" t="n">
        <v>199496.75</v>
      </c>
      <c r="D18" s="11" t="n">
        <v>8028.26</v>
      </c>
      <c r="E18" s="44" t="n">
        <v>-117568.65</v>
      </c>
      <c r="F18" s="11" t="n">
        <v>363877.45</v>
      </c>
      <c r="G18" s="11" t="n">
        <v>88084.17999999999</v>
      </c>
      <c r="H18" s="44" t="n">
        <v>-275793.27</v>
      </c>
    </row>
    <row r="19" ht="16" customHeight="1">
      <c r="A19" s="5" t="inlineStr">
        <is>
          <t>2024-04</t>
        </is>
      </c>
      <c r="B19" s="15" t="n">
        <v>183700.84</v>
      </c>
      <c r="C19" s="15" t="n">
        <v>205734.22</v>
      </c>
      <c r="D19" s="15" t="n">
        <v>8375.719999999999</v>
      </c>
      <c r="E19" s="45" t="n">
        <v>-22033.38</v>
      </c>
      <c r="F19" s="15" t="n">
        <v>341481.7</v>
      </c>
      <c r="G19" s="15" t="n">
        <v>111062.63</v>
      </c>
      <c r="H19" s="45" t="n">
        <v>-230419.07</v>
      </c>
    </row>
    <row r="20" ht="16" customHeight="1">
      <c r="A20" s="3" t="inlineStr">
        <is>
          <t>2024-05</t>
        </is>
      </c>
      <c r="B20" s="11" t="n">
        <v>135853.18</v>
      </c>
      <c r="C20" s="11" t="n">
        <v>219320.37</v>
      </c>
      <c r="D20" s="11" t="n">
        <v>8375.719999999999</v>
      </c>
      <c r="E20" s="44" t="n">
        <v>-83467.19</v>
      </c>
      <c r="F20" s="11" t="n">
        <v>282134.94</v>
      </c>
      <c r="G20" s="11" t="n">
        <v>156283.22</v>
      </c>
      <c r="H20" s="44" t="n">
        <v>-125851.72</v>
      </c>
    </row>
    <row r="21" ht="16" customHeight="1">
      <c r="A21" s="5" t="inlineStr">
        <is>
          <t>2024-06</t>
        </is>
      </c>
      <c r="B21" s="15" t="n">
        <v>99352.35000000001</v>
      </c>
      <c r="C21" s="15" t="n">
        <v>199454.42</v>
      </c>
      <c r="D21" s="15" t="n">
        <v>8375.719999999999</v>
      </c>
      <c r="E21" s="45" t="n">
        <v>-100102.07</v>
      </c>
      <c r="F21" s="15" t="n">
        <v>234429.06</v>
      </c>
      <c r="G21" s="15" t="n">
        <v>213782.81</v>
      </c>
      <c r="H21" s="45" t="n">
        <v>-20646.25</v>
      </c>
    </row>
    <row r="22" ht="16" customHeight="1">
      <c r="A22" s="3" t="inlineStr">
        <is>
          <t>2024-07</t>
        </is>
      </c>
      <c r="B22" s="11" t="n">
        <v>129747.68</v>
      </c>
      <c r="C22" s="11" t="n">
        <v>188884.3</v>
      </c>
      <c r="D22" s="11" t="n">
        <v>8375.719999999999</v>
      </c>
      <c r="E22" s="44" t="n">
        <v>-59136.62</v>
      </c>
      <c r="F22" s="11" t="n">
        <v>187483.68</v>
      </c>
      <c r="G22" s="11" t="n">
        <v>238807.76</v>
      </c>
      <c r="H22" s="44" t="n">
        <v>51324.08000000002</v>
      </c>
    </row>
    <row r="23" ht="16" customHeight="1">
      <c r="A23" s="5" t="inlineStr">
        <is>
          <t>2024-08</t>
        </is>
      </c>
      <c r="B23" s="15" t="n">
        <v>132013.39</v>
      </c>
      <c r="C23" s="15" t="n">
        <v>193641.96</v>
      </c>
      <c r="D23" s="15" t="n">
        <v>8375.719999999999</v>
      </c>
      <c r="E23" s="45" t="n">
        <v>-61628.57</v>
      </c>
      <c r="F23" s="15" t="n">
        <v>166578.6</v>
      </c>
      <c r="G23" s="15" t="n">
        <v>286623.38</v>
      </c>
      <c r="H23" s="45" t="n">
        <v>120044.78</v>
      </c>
    </row>
    <row r="24" ht="16" customHeight="1">
      <c r="A24" s="3" t="inlineStr">
        <is>
          <t>2024-09</t>
        </is>
      </c>
      <c r="B24" s="11" t="n">
        <v>99964.17</v>
      </c>
      <c r="C24" s="11" t="n">
        <v>186416.76</v>
      </c>
      <c r="D24" s="11" t="n">
        <v>8023.68</v>
      </c>
      <c r="E24" s="44" t="n">
        <v>-86452.59</v>
      </c>
      <c r="F24" s="11" t="n">
        <v>122995.66</v>
      </c>
      <c r="G24" s="11" t="n">
        <v>334596.43</v>
      </c>
      <c r="H24" s="44" t="n">
        <v>211600.77</v>
      </c>
    </row>
    <row r="25" ht="16" customHeight="1">
      <c r="A25" s="5" t="inlineStr">
        <is>
          <t>2024-10</t>
        </is>
      </c>
      <c r="B25" s="15" t="n">
        <v>130440.19</v>
      </c>
      <c r="C25" s="15" t="n">
        <v>185848.42</v>
      </c>
      <c r="D25" s="15" t="n">
        <v>8023.68</v>
      </c>
      <c r="E25" s="45" t="n">
        <v>-55408.23</v>
      </c>
      <c r="F25" s="15" t="n">
        <v>82536.42</v>
      </c>
      <c r="G25" s="15" t="n">
        <v>371886.04</v>
      </c>
      <c r="H25" s="45" t="n">
        <v>289349.62</v>
      </c>
    </row>
    <row r="26" ht="16" customHeight="1">
      <c r="A26" s="3" t="inlineStr">
        <is>
          <t>2024-11</t>
        </is>
      </c>
      <c r="B26" s="11" t="n">
        <v>131223.61</v>
      </c>
      <c r="C26" s="11" t="n">
        <v>184591.03</v>
      </c>
      <c r="D26" s="11" t="n">
        <v>8023.68</v>
      </c>
      <c r="E26" s="44" t="n">
        <v>-53367.42</v>
      </c>
      <c r="F26" s="11" t="n">
        <v>70623.84</v>
      </c>
      <c r="G26" s="11" t="n">
        <v>424380.05</v>
      </c>
      <c r="H26" s="44" t="n">
        <v>353756.21</v>
      </c>
    </row>
    <row r="27" ht="16" customHeight="1">
      <c r="A27" s="5" t="inlineStr">
        <is>
          <t>2024-12</t>
        </is>
      </c>
      <c r="B27" s="15" t="n">
        <v>100027.44</v>
      </c>
      <c r="C27" s="15" t="n">
        <v>184773.72</v>
      </c>
      <c r="D27" s="15" t="n">
        <v>8023.68</v>
      </c>
      <c r="E27" s="45" t="n">
        <v>-84746.28</v>
      </c>
      <c r="F27" s="15" t="n">
        <v>30649.89</v>
      </c>
      <c r="G27" s="15" t="n">
        <v>473837.1</v>
      </c>
      <c r="H27" s="45" t="n">
        <v>443187.21</v>
      </c>
    </row>
    <row r="28">
      <c r="A28" s="23" t="inlineStr">
        <is>
          <t>TOTAL</t>
        </is>
      </c>
      <c r="B28" s="46" t="n">
        <v>3405275.87</v>
      </c>
      <c r="C28" s="46" t="n">
        <v>3554000.44</v>
      </c>
      <c r="D28" s="46" t="n">
        <v>153593.89</v>
      </c>
      <c r="E28" s="47" t="n"/>
      <c r="F28" s="47" t="n"/>
      <c r="G28" s="47" t="n"/>
      <c r="H28" s="47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6" customWidth="1" min="3" max="3"/>
    <col width="26" customWidth="1" min="4" max="4"/>
    <col width="15" customWidth="1" min="5" max="5"/>
  </cols>
  <sheetData>
    <row r="1" ht="26" customHeight="1">
      <c r="A1" s="1" t="inlineStr">
        <is>
          <t>Deferred Revenue Roll-Forward  |  Balance-Movement Format  |  ASC 606-10-50-8</t>
        </is>
      </c>
    </row>
    <row r="2">
      <c r="A2" s="65" t="inlineStr">
        <is>
          <t>Additions = net period-over-period increases in deferred balance. Releases = net decreases (revenue earned from beginning balance). Monthly billing recognised immediately does not flow through this table.</t>
        </is>
      </c>
    </row>
    <row r="3" ht="20" customHeight="1">
      <c r="A3" s="2" t="inlineStr">
        <is>
          <t>Period</t>
        </is>
      </c>
      <c r="B3" s="2" t="inlineStr">
        <is>
          <t>Opening Balance</t>
        </is>
      </c>
      <c r="C3" s="2" t="inlineStr">
        <is>
          <t>+ Additions (advance billings)</t>
        </is>
      </c>
      <c r="D3" s="2" t="inlineStr">
        <is>
          <t>− Releases (earned from balance)</t>
        </is>
      </c>
      <c r="E3" s="2" t="inlineStr">
        <is>
          <t>Closing Balance</t>
        </is>
      </c>
    </row>
    <row r="4" ht="16" customHeight="1">
      <c r="A4" s="3" t="inlineStr">
        <is>
          <t>2023-01</t>
        </is>
      </c>
      <c r="B4" s="11" t="n">
        <v>0</v>
      </c>
      <c r="C4" s="11" t="n">
        <v>47109</v>
      </c>
      <c r="D4" s="66" t="n">
        <v>0</v>
      </c>
      <c r="E4" s="11" t="n">
        <v>47109</v>
      </c>
    </row>
    <row r="5" ht="16" customHeight="1">
      <c r="A5" s="5" t="inlineStr">
        <is>
          <t>2023-02</t>
        </is>
      </c>
      <c r="B5" s="15" t="n">
        <v>47109</v>
      </c>
      <c r="C5" s="15" t="n">
        <v>17616</v>
      </c>
      <c r="D5" s="67" t="n">
        <v>-5823</v>
      </c>
      <c r="E5" s="15" t="n">
        <v>58902</v>
      </c>
    </row>
    <row r="6" ht="16" customHeight="1">
      <c r="A6" s="3" t="inlineStr">
        <is>
          <t>2023-03</t>
        </is>
      </c>
      <c r="B6" s="11" t="n">
        <v>58902</v>
      </c>
      <c r="C6" s="11" t="n">
        <v>20041</v>
      </c>
      <c r="D6" s="66" t="n">
        <v>-14631</v>
      </c>
      <c r="E6" s="11" t="n">
        <v>64311</v>
      </c>
    </row>
    <row r="7" ht="16" customHeight="1">
      <c r="A7" s="5" t="inlineStr">
        <is>
          <t>2023-04</t>
        </is>
      </c>
      <c r="B7" s="15" t="n">
        <v>64311</v>
      </c>
      <c r="C7" s="15" t="n">
        <v>152790</v>
      </c>
      <c r="D7" s="67" t="n">
        <v>-19046</v>
      </c>
      <c r="E7" s="15" t="n">
        <v>198055</v>
      </c>
    </row>
    <row r="8" ht="16" customHeight="1">
      <c r="A8" s="3" t="inlineStr">
        <is>
          <t>2023-05</t>
        </is>
      </c>
      <c r="B8" s="11" t="n">
        <v>198055</v>
      </c>
      <c r="C8" s="11" t="n">
        <v>17616</v>
      </c>
      <c r="D8" s="66" t="n">
        <v>-29160</v>
      </c>
      <c r="E8" s="11" t="n">
        <v>186511</v>
      </c>
    </row>
    <row r="9" ht="16" customHeight="1">
      <c r="A9" s="5" t="inlineStr">
        <is>
          <t>2023-06</t>
        </is>
      </c>
      <c r="B9" s="15" t="n">
        <v>186511</v>
      </c>
      <c r="C9" s="15" t="n">
        <v>265331</v>
      </c>
      <c r="D9" s="67" t="n">
        <v>-35000</v>
      </c>
      <c r="E9" s="15" t="n">
        <v>416843</v>
      </c>
    </row>
    <row r="10" ht="16" customHeight="1">
      <c r="A10" s="3" t="inlineStr">
        <is>
          <t>2023-07</t>
        </is>
      </c>
      <c r="B10" s="11" t="n">
        <v>416843</v>
      </c>
      <c r="C10" s="11" t="n">
        <v>10045</v>
      </c>
      <c r="D10" s="66" t="n">
        <v>-55853</v>
      </c>
      <c r="E10" s="11" t="n">
        <v>371035</v>
      </c>
    </row>
    <row r="11" ht="16" customHeight="1">
      <c r="A11" s="5" t="inlineStr">
        <is>
          <t>2023-08</t>
        </is>
      </c>
      <c r="B11" s="15" t="n">
        <v>371035</v>
      </c>
      <c r="C11" s="15" t="n">
        <v>45044</v>
      </c>
      <c r="D11" s="67" t="n">
        <v>-56153</v>
      </c>
      <c r="E11" s="15" t="n">
        <v>359927</v>
      </c>
    </row>
    <row r="12" ht="16" customHeight="1">
      <c r="A12" s="3" t="inlineStr">
        <is>
          <t>2023-09</t>
        </is>
      </c>
      <c r="B12" s="11" t="n">
        <v>359927</v>
      </c>
      <c r="C12" s="11" t="n">
        <v>27282</v>
      </c>
      <c r="D12" s="66" t="n">
        <v>-61988</v>
      </c>
      <c r="E12" s="11" t="n">
        <v>325221</v>
      </c>
    </row>
    <row r="13" ht="16" customHeight="1">
      <c r="A13" s="5" t="inlineStr">
        <is>
          <t>2023-10</t>
        </is>
      </c>
      <c r="B13" s="15" t="n">
        <v>325221</v>
      </c>
      <c r="C13" s="15" t="n">
        <v>52191</v>
      </c>
      <c r="D13" s="67" t="n">
        <v>-59568</v>
      </c>
      <c r="E13" s="15" t="n">
        <v>317844</v>
      </c>
    </row>
    <row r="14" ht="16" customHeight="1">
      <c r="A14" s="3" t="inlineStr">
        <is>
          <t>2023-11</t>
        </is>
      </c>
      <c r="B14" s="11" t="n">
        <v>317844</v>
      </c>
      <c r="C14" s="11" t="n">
        <v>77998</v>
      </c>
      <c r="D14" s="66" t="n">
        <v>-60777</v>
      </c>
      <c r="E14" s="11" t="n">
        <v>335066</v>
      </c>
    </row>
    <row r="15" ht="16" customHeight="1">
      <c r="A15" s="5" t="inlineStr">
        <is>
          <t>2023-12</t>
        </is>
      </c>
      <c r="B15" s="15" t="n">
        <v>335066</v>
      </c>
      <c r="C15" s="15" t="n">
        <v>27296</v>
      </c>
      <c r="D15" s="67" t="n">
        <v>-72616</v>
      </c>
      <c r="E15" s="15" t="n">
        <v>289746</v>
      </c>
    </row>
    <row r="16" ht="16" customHeight="1">
      <c r="A16" s="3" t="inlineStr">
        <is>
          <t>2024-01</t>
        </is>
      </c>
      <c r="B16" s="11" t="n">
        <v>289746</v>
      </c>
      <c r="C16" s="11" t="n">
        <v>88844</v>
      </c>
      <c r="D16" s="66" t="n">
        <v>-73928</v>
      </c>
      <c r="E16" s="11" t="n">
        <v>304662</v>
      </c>
    </row>
    <row r="17" ht="16" customHeight="1">
      <c r="A17" s="5" t="inlineStr">
        <is>
          <t>2024-02</t>
        </is>
      </c>
      <c r="B17" s="15" t="n">
        <v>304662</v>
      </c>
      <c r="C17" s="15" t="n">
        <v>238507</v>
      </c>
      <c r="D17" s="67" t="n">
        <v>-89738</v>
      </c>
      <c r="E17" s="15" t="n">
        <v>453431</v>
      </c>
    </row>
    <row r="18" ht="16" customHeight="1">
      <c r="A18" s="3" t="inlineStr">
        <is>
          <t>2024-03</t>
        </is>
      </c>
      <c r="B18" s="11" t="n">
        <v>453431</v>
      </c>
      <c r="C18" s="11" t="n">
        <v>7398</v>
      </c>
      <c r="D18" s="66" t="n">
        <v>-96952</v>
      </c>
      <c r="E18" s="11" t="n">
        <v>363877</v>
      </c>
    </row>
    <row r="19" ht="16" customHeight="1">
      <c r="A19" s="5" t="inlineStr">
        <is>
          <t>2024-04</t>
        </is>
      </c>
      <c r="B19" s="15" t="n">
        <v>363877</v>
      </c>
      <c r="C19" s="15" t="n">
        <v>56585</v>
      </c>
      <c r="D19" s="67" t="n">
        <v>-78981</v>
      </c>
      <c r="E19" s="15" t="n">
        <v>341482</v>
      </c>
    </row>
    <row r="20" ht="16" customHeight="1">
      <c r="A20" s="3" t="inlineStr">
        <is>
          <t>2024-05</t>
        </is>
      </c>
      <c r="B20" s="11" t="n">
        <v>341482</v>
      </c>
      <c r="C20" s="11" t="n">
        <v>25368</v>
      </c>
      <c r="D20" s="66" t="n">
        <v>-84715</v>
      </c>
      <c r="E20" s="11" t="n">
        <v>282135</v>
      </c>
    </row>
    <row r="21" ht="16" customHeight="1">
      <c r="A21" s="5" t="inlineStr">
        <is>
          <t>2024-06</t>
        </is>
      </c>
      <c r="B21" s="15" t="n">
        <v>282135</v>
      </c>
      <c r="C21" s="15" t="n">
        <v>7398</v>
      </c>
      <c r="D21" s="67" t="n">
        <v>-55104</v>
      </c>
      <c r="E21" s="15" t="n">
        <v>234429</v>
      </c>
    </row>
    <row r="22" ht="16" customHeight="1">
      <c r="A22" s="3" t="inlineStr">
        <is>
          <t>2024-07</t>
        </is>
      </c>
      <c r="B22" s="11" t="n">
        <v>234429</v>
      </c>
      <c r="C22" s="11" t="n">
        <v>8441</v>
      </c>
      <c r="D22" s="66" t="n">
        <v>-55387</v>
      </c>
      <c r="E22" s="11" t="n">
        <v>187484</v>
      </c>
    </row>
    <row r="23" ht="16" customHeight="1">
      <c r="A23" s="5" t="inlineStr">
        <is>
          <t>2024-08</t>
        </is>
      </c>
      <c r="B23" s="15" t="n">
        <v>187484</v>
      </c>
      <c r="C23" s="15" t="n">
        <v>25368</v>
      </c>
      <c r="D23" s="67" t="n">
        <v>-46274</v>
      </c>
      <c r="E23" s="15" t="n">
        <v>166579</v>
      </c>
    </row>
    <row r="24" ht="16" customHeight="1">
      <c r="A24" s="3" t="inlineStr">
        <is>
          <t>2024-09</t>
        </is>
      </c>
      <c r="B24" s="11" t="n">
        <v>166579</v>
      </c>
      <c r="C24" s="11" t="n">
        <v>7398</v>
      </c>
      <c r="D24" s="66" t="n">
        <v>-50981</v>
      </c>
      <c r="E24" s="11" t="n">
        <v>122996</v>
      </c>
    </row>
    <row r="25" ht="16" customHeight="1">
      <c r="A25" s="5" t="inlineStr">
        <is>
          <t>2024-10</t>
        </is>
      </c>
      <c r="B25" s="15" t="n">
        <v>122996</v>
      </c>
      <c r="C25" s="15" t="n">
        <v>7427</v>
      </c>
      <c r="D25" s="67" t="n">
        <v>-47886</v>
      </c>
      <c r="E25" s="15" t="n">
        <v>82536</v>
      </c>
    </row>
    <row r="26" ht="16" customHeight="1">
      <c r="A26" s="3" t="inlineStr">
        <is>
          <t>2024-11</t>
        </is>
      </c>
      <c r="B26" s="11" t="n">
        <v>82536</v>
      </c>
      <c r="C26" s="11" t="n">
        <v>25368</v>
      </c>
      <c r="D26" s="66" t="n">
        <v>-37281</v>
      </c>
      <c r="E26" s="11" t="n">
        <v>70624</v>
      </c>
    </row>
    <row r="27" ht="16" customHeight="1">
      <c r="A27" s="5" t="inlineStr">
        <is>
          <t>2024-12</t>
        </is>
      </c>
      <c r="B27" s="15" t="n">
        <v>70624</v>
      </c>
      <c r="C27" s="15" t="n">
        <v>7398</v>
      </c>
      <c r="D27" s="67" t="n">
        <v>-47372</v>
      </c>
      <c r="E27" s="15" t="n">
        <v>30650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7" customWidth="1" min="4" max="4"/>
    <col width="13" customWidth="1" min="5" max="5"/>
  </cols>
  <sheetData>
    <row r="1" ht="28" customHeight="1">
      <c r="A1" s="1" t="inlineStr">
        <is>
          <t>Remaining Performance Obligations  |  By Product  |  Committed Contracts Only</t>
        </is>
      </c>
    </row>
    <row r="3" ht="20" customHeight="1">
      <c r="A3" s="2" t="inlineStr">
        <is>
          <t>Period</t>
        </is>
      </c>
      <c r="B3" s="2" t="inlineStr">
        <is>
          <t>Core RPO</t>
        </is>
      </c>
      <c r="C3" s="2" t="inlineStr">
        <is>
          <t>Analytics RPO</t>
        </is>
      </c>
      <c r="D3" s="2" t="inlineStr">
        <is>
          <t>DataPipeline RPO</t>
        </is>
      </c>
      <c r="E3" s="2" t="inlineStr">
        <is>
          <t>Total RPO</t>
        </is>
      </c>
    </row>
    <row r="4" ht="16" customHeight="1">
      <c r="A4" s="3" t="inlineStr">
        <is>
          <t>2023-01</t>
        </is>
      </c>
      <c r="B4" s="11" t="n">
        <v>105864.96</v>
      </c>
      <c r="C4" s="11" t="n">
        <v>0</v>
      </c>
      <c r="D4" s="11" t="n">
        <v>0</v>
      </c>
      <c r="E4" s="48" t="n">
        <v>105864.96</v>
      </c>
    </row>
    <row r="5" ht="16" customHeight="1">
      <c r="A5" s="5" t="inlineStr">
        <is>
          <t>2023-02</t>
        </is>
      </c>
      <c r="B5" s="15" t="n">
        <v>312845.92</v>
      </c>
      <c r="C5" s="15" t="n">
        <v>0</v>
      </c>
      <c r="D5" s="15" t="n">
        <v>32666.4</v>
      </c>
      <c r="E5" s="49" t="n">
        <v>345512.32</v>
      </c>
    </row>
    <row r="6" ht="16" customHeight="1">
      <c r="A6" s="3" t="inlineStr">
        <is>
          <t>2023-03</t>
        </is>
      </c>
      <c r="B6" s="11" t="n">
        <v>313175.84</v>
      </c>
      <c r="C6" s="11" t="n">
        <v>70528.08</v>
      </c>
      <c r="D6" s="11" t="n">
        <v>31305.3</v>
      </c>
      <c r="E6" s="48" t="n">
        <v>415009.22</v>
      </c>
    </row>
    <row r="7" ht="16" customHeight="1">
      <c r="A7" s="5" t="inlineStr">
        <is>
          <t>2023-04</t>
        </is>
      </c>
      <c r="B7" s="15" t="n">
        <v>679195.14</v>
      </c>
      <c r="C7" s="15" t="n">
        <v>133793.41</v>
      </c>
      <c r="D7" s="15" t="n">
        <v>29944.2</v>
      </c>
      <c r="E7" s="49" t="n">
        <v>842932.75</v>
      </c>
    </row>
    <row r="8" ht="16" customHeight="1">
      <c r="A8" s="3" t="inlineStr">
        <is>
          <t>2023-05</t>
        </is>
      </c>
      <c r="B8" s="11" t="n">
        <v>649586.4399999999</v>
      </c>
      <c r="C8" s="11" t="n">
        <v>128096.24</v>
      </c>
      <c r="D8" s="11" t="n">
        <v>28583.1</v>
      </c>
      <c r="E8" s="48" t="n">
        <v>806265.7799999999</v>
      </c>
    </row>
    <row r="9" ht="16" customHeight="1">
      <c r="A9" s="5" t="inlineStr">
        <is>
          <t>2023-06</t>
        </is>
      </c>
      <c r="B9" s="15" t="n">
        <v>1074208.22</v>
      </c>
      <c r="C9" s="15" t="n">
        <v>137364.99</v>
      </c>
      <c r="D9" s="15" t="n">
        <v>68354.39999999999</v>
      </c>
      <c r="E9" s="49" t="n">
        <v>1279927.61</v>
      </c>
    </row>
    <row r="10" ht="16" customHeight="1">
      <c r="A10" s="3" t="inlineStr">
        <is>
          <t>2023-07</t>
        </is>
      </c>
      <c r="B10" s="11" t="n">
        <v>1022017.28</v>
      </c>
      <c r="C10" s="11" t="n">
        <v>130420.66</v>
      </c>
      <c r="D10" s="11" t="n">
        <v>63565.6</v>
      </c>
      <c r="E10" s="48" t="n">
        <v>1216003.54</v>
      </c>
    </row>
    <row r="11" ht="16" customHeight="1">
      <c r="A11" s="5" t="inlineStr">
        <is>
          <t>2023-08</t>
        </is>
      </c>
      <c r="B11" s="15" t="n">
        <v>1074450.1</v>
      </c>
      <c r="C11" s="15" t="n">
        <v>146017.01</v>
      </c>
      <c r="D11" s="15" t="n">
        <v>58776.8</v>
      </c>
      <c r="E11" s="49" t="n">
        <v>1279243.91</v>
      </c>
    </row>
    <row r="12" ht="16" customHeight="1">
      <c r="A12" s="3" t="inlineStr">
        <is>
          <t>2023-09</t>
        </is>
      </c>
      <c r="B12" s="11" t="n">
        <v>1016167.2</v>
      </c>
      <c r="C12" s="11" t="n">
        <v>162694.17</v>
      </c>
      <c r="D12" s="11" t="n">
        <v>53988</v>
      </c>
      <c r="E12" s="48" t="n">
        <v>1232849.37</v>
      </c>
    </row>
    <row r="13" ht="16" customHeight="1">
      <c r="A13" s="5" t="inlineStr">
        <is>
          <t>2023-10</t>
        </is>
      </c>
      <c r="B13" s="15" t="n">
        <v>1094404.7</v>
      </c>
      <c r="C13" s="15" t="n">
        <v>159489.82</v>
      </c>
      <c r="D13" s="15" t="n">
        <v>49199.2</v>
      </c>
      <c r="E13" s="49" t="n">
        <v>1303093.72</v>
      </c>
    </row>
    <row r="14" ht="16" customHeight="1">
      <c r="A14" s="3" t="inlineStr">
        <is>
          <t>2023-11</t>
        </is>
      </c>
      <c r="B14" s="11" t="n">
        <v>1118306.45</v>
      </c>
      <c r="C14" s="11" t="n">
        <v>261727.21</v>
      </c>
      <c r="D14" s="11" t="n">
        <v>44410.4</v>
      </c>
      <c r="E14" s="48" t="n">
        <v>1424444.06</v>
      </c>
    </row>
    <row r="15" ht="16" customHeight="1">
      <c r="A15" s="5" t="inlineStr">
        <is>
          <t>2023-12</t>
        </is>
      </c>
      <c r="B15" s="15" t="n">
        <v>1073574.84</v>
      </c>
      <c r="C15" s="15" t="n">
        <v>251001.22</v>
      </c>
      <c r="D15" s="15" t="n">
        <v>39621.6</v>
      </c>
      <c r="E15" s="49" t="n">
        <v>1364197.66</v>
      </c>
    </row>
    <row r="16" ht="16" customHeight="1">
      <c r="A16" s="3" t="inlineStr">
        <is>
          <t>2024-01</t>
        </is>
      </c>
      <c r="B16" s="11" t="n">
        <v>1210401.77</v>
      </c>
      <c r="C16" s="11" t="n">
        <v>241737.21</v>
      </c>
      <c r="D16" s="11" t="n">
        <v>34832.8</v>
      </c>
      <c r="E16" s="48" t="n">
        <v>1486971.78</v>
      </c>
    </row>
    <row r="17" ht="16" customHeight="1">
      <c r="A17" s="5" t="inlineStr">
        <is>
          <t>2024-02</t>
        </is>
      </c>
      <c r="B17" s="15" t="n">
        <v>1352073.96</v>
      </c>
      <c r="C17" s="15" t="n">
        <v>228653.88</v>
      </c>
      <c r="D17" s="15" t="n">
        <v>30044</v>
      </c>
      <c r="E17" s="49" t="n">
        <v>1610771.84</v>
      </c>
    </row>
    <row r="18" ht="16" customHeight="1">
      <c r="A18" s="3" t="inlineStr">
        <is>
          <t>2024-03</t>
        </is>
      </c>
      <c r="B18" s="11" t="n">
        <v>1273585.3</v>
      </c>
      <c r="C18" s="11" t="n">
        <v>212482.85</v>
      </c>
      <c r="D18" s="11" t="n">
        <v>47122.08</v>
      </c>
      <c r="E18" s="48" t="n">
        <v>1533190.23</v>
      </c>
    </row>
    <row r="19" ht="16" customHeight="1">
      <c r="A19" s="5" t="inlineStr">
        <is>
          <t>2024-04</t>
        </is>
      </c>
      <c r="B19" s="15" t="n">
        <v>1196560.07</v>
      </c>
      <c r="C19" s="15" t="n">
        <v>216293.98</v>
      </c>
      <c r="D19" s="15" t="n">
        <v>60159.84</v>
      </c>
      <c r="E19" s="49" t="n">
        <v>1473013.89</v>
      </c>
    </row>
    <row r="20" ht="16" customHeight="1">
      <c r="A20" s="3" t="inlineStr">
        <is>
          <t>2024-05</t>
        </is>
      </c>
      <c r="B20" s="11" t="n">
        <v>1087579.8</v>
      </c>
      <c r="C20" s="11" t="n">
        <v>163382.7</v>
      </c>
      <c r="D20" s="11" t="n">
        <v>51911.4</v>
      </c>
      <c r="E20" s="48" t="n">
        <v>1302873.9</v>
      </c>
    </row>
    <row r="21" ht="16" customHeight="1">
      <c r="A21" s="5" t="inlineStr">
        <is>
          <t>2024-06</t>
        </is>
      </c>
      <c r="B21" s="15" t="n">
        <v>891088.55</v>
      </c>
      <c r="C21" s="15" t="n">
        <v>147926.01</v>
      </c>
      <c r="D21" s="15" t="n">
        <v>43662.96</v>
      </c>
      <c r="E21" s="49" t="n">
        <v>1082677.52</v>
      </c>
    </row>
    <row r="22" ht="16" customHeight="1">
      <c r="A22" s="3" t="inlineStr">
        <is>
          <t>2024-07</t>
        </is>
      </c>
      <c r="B22" s="11" t="n">
        <v>814481.54</v>
      </c>
      <c r="C22" s="11" t="n">
        <v>134100.58</v>
      </c>
      <c r="D22" s="11" t="n">
        <v>38842.22</v>
      </c>
      <c r="E22" s="48" t="n">
        <v>987424.34</v>
      </c>
    </row>
    <row r="23" ht="16" customHeight="1">
      <c r="A23" s="5" t="inlineStr">
        <is>
          <t>2024-08</t>
        </is>
      </c>
      <c r="B23" s="15" t="n">
        <v>723911.5699999999</v>
      </c>
      <c r="C23" s="15" t="n">
        <v>120275.15</v>
      </c>
      <c r="D23" s="15" t="n">
        <v>34021.48</v>
      </c>
      <c r="E23" s="49" t="n">
        <v>878208.2</v>
      </c>
    </row>
    <row r="24" ht="16" customHeight="1">
      <c r="A24" s="3" t="inlineStr">
        <is>
          <t>2024-09</t>
        </is>
      </c>
      <c r="B24" s="11" t="n">
        <v>629587.52</v>
      </c>
      <c r="C24" s="11" t="n">
        <v>106449.72</v>
      </c>
      <c r="D24" s="11" t="n">
        <v>29200.74</v>
      </c>
      <c r="E24" s="48" t="n">
        <v>765237.98</v>
      </c>
    </row>
    <row r="25" ht="16" customHeight="1">
      <c r="A25" s="5" t="inlineStr">
        <is>
          <t>2024-10</t>
        </is>
      </c>
      <c r="B25" s="15" t="n">
        <v>540268.91</v>
      </c>
      <c r="C25" s="15" t="n">
        <v>94749.28</v>
      </c>
      <c r="D25" s="15" t="n">
        <v>24380</v>
      </c>
      <c r="E25" s="49" t="n">
        <v>659398.1900000001</v>
      </c>
    </row>
    <row r="26" ht="16" customHeight="1">
      <c r="A26" s="3" t="inlineStr">
        <is>
          <t>2024-11</t>
        </is>
      </c>
      <c r="B26" s="11" t="n">
        <v>450950.3</v>
      </c>
      <c r="C26" s="11" t="n">
        <v>83048.84</v>
      </c>
      <c r="D26" s="11" t="n">
        <v>19559.26</v>
      </c>
      <c r="E26" s="48" t="n">
        <v>553558.4</v>
      </c>
    </row>
    <row r="27" ht="16" customHeight="1">
      <c r="A27" s="5" t="inlineStr">
        <is>
          <t>2024-12</t>
        </is>
      </c>
      <c r="B27" s="15" t="n">
        <v>361631.69</v>
      </c>
      <c r="C27" s="15" t="n">
        <v>71348.39999999999</v>
      </c>
      <c r="D27" s="15" t="n">
        <v>14738.52</v>
      </c>
      <c r="E27" s="49" t="n">
        <v>447718.61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3" customWidth="1" min="4" max="4"/>
    <col width="14" customWidth="1" min="5" max="5"/>
    <col width="15" customWidth="1" min="6" max="6"/>
  </cols>
  <sheetData>
    <row r="1" ht="26" customHeight="1">
      <c r="A1" s="1" t="inlineStr">
        <is>
          <t>Commission Asset Roll-Forward  |  ASC 340-40  |  With Write-offs Column</t>
        </is>
      </c>
    </row>
    <row r="2">
      <c r="A2" s="65" t="inlineStr">
        <is>
          <t>Write-offs = unamortised balance expensed on contract termination, churn-at-renewal, or product switch-out (ASC 340-40-35-1). Closing balances from recognition schedule. ~$9,421 accumulated rounding absorbed in closing balance.</t>
        </is>
      </c>
    </row>
    <row r="3" ht="20" customHeight="1">
      <c r="A3" s="2" t="inlineStr">
        <is>
          <t>Quarter</t>
        </is>
      </c>
      <c r="B3" s="2" t="inlineStr">
        <is>
          <t>Opening Balance</t>
        </is>
      </c>
      <c r="C3" s="2" t="inlineStr">
        <is>
          <t>+ Capitalised</t>
        </is>
      </c>
      <c r="D3" s="2" t="inlineStr">
        <is>
          <t>− Amortised</t>
        </is>
      </c>
      <c r="E3" s="2" t="inlineStr">
        <is>
          <t>− Write-offs</t>
        </is>
      </c>
      <c r="F3" s="2" t="inlineStr">
        <is>
          <t>Closing Balance</t>
        </is>
      </c>
    </row>
    <row r="4" ht="16" customHeight="1">
      <c r="A4" s="3" t="inlineStr">
        <is>
          <t>Q1 2023</t>
        </is>
      </c>
      <c r="B4" s="11" t="n">
        <v>0</v>
      </c>
      <c r="C4" s="11" t="n">
        <v>77119</v>
      </c>
      <c r="D4" s="66" t="n">
        <v>-6844</v>
      </c>
      <c r="E4" s="66" t="n">
        <v>0</v>
      </c>
      <c r="F4" s="11" t="n">
        <v>71505</v>
      </c>
    </row>
    <row r="5" ht="16" customHeight="1">
      <c r="A5" s="5" t="inlineStr">
        <is>
          <t>Q2 2023</t>
        </is>
      </c>
      <c r="B5" s="15" t="n">
        <v>71505</v>
      </c>
      <c r="C5" s="15" t="n">
        <v>202433</v>
      </c>
      <c r="D5" s="67" t="n">
        <v>-21743</v>
      </c>
      <c r="E5" s="67" t="n">
        <v>-856</v>
      </c>
      <c r="F5" s="15" t="n">
        <v>250166</v>
      </c>
    </row>
    <row r="6" ht="16" customHeight="1">
      <c r="A6" s="3" t="inlineStr">
        <is>
          <t>Q3 2023</t>
        </is>
      </c>
      <c r="B6" s="11" t="n">
        <v>250166</v>
      </c>
      <c r="C6" s="11" t="n">
        <v>73737</v>
      </c>
      <c r="D6" s="66" t="n">
        <v>-36168</v>
      </c>
      <c r="E6" s="66" t="n">
        <v>0</v>
      </c>
      <c r="F6" s="11" t="n">
        <v>287735</v>
      </c>
    </row>
    <row r="7" ht="16" customHeight="1">
      <c r="A7" s="5" t="inlineStr">
        <is>
          <t>Q4 2023</t>
        </is>
      </c>
      <c r="B7" s="15" t="n">
        <v>287735</v>
      </c>
      <c r="C7" s="15" t="n">
        <v>39723</v>
      </c>
      <c r="D7" s="67" t="n">
        <v>-42027</v>
      </c>
      <c r="E7" s="67" t="n">
        <v>-11657</v>
      </c>
      <c r="F7" s="15" t="n">
        <v>274459</v>
      </c>
    </row>
    <row r="8" ht="18" customHeight="1">
      <c r="A8" s="21" t="inlineStr">
        <is>
          <t>FY 2023 total</t>
        </is>
      </c>
      <c r="B8" s="22" t="n">
        <v>0</v>
      </c>
      <c r="C8" s="22" t="n">
        <v>393012</v>
      </c>
      <c r="D8" s="68" t="n">
        <v>-106782</v>
      </c>
      <c r="E8" s="68" t="n">
        <v>-12513</v>
      </c>
      <c r="F8" s="22" t="n">
        <v>274459</v>
      </c>
    </row>
    <row r="9" ht="16" customHeight="1"/>
    <row r="10" ht="16" customHeight="1">
      <c r="A10" s="3" t="inlineStr">
        <is>
          <t>Q1 2024</t>
        </is>
      </c>
      <c r="B10" s="11" t="n">
        <v>274459</v>
      </c>
      <c r="C10" s="11" t="n">
        <v>72582</v>
      </c>
      <c r="D10" s="66" t="n">
        <v>-45848</v>
      </c>
      <c r="E10" s="66" t="n">
        <v>-5855</v>
      </c>
      <c r="F10" s="11" t="n">
        <v>296272</v>
      </c>
    </row>
    <row r="11" ht="16" customHeight="1">
      <c r="A11" s="5" t="inlineStr">
        <is>
          <t>Q2 2024</t>
        </is>
      </c>
      <c r="B11" s="15" t="n">
        <v>296272</v>
      </c>
      <c r="C11" s="15" t="n">
        <v>86578</v>
      </c>
      <c r="D11" s="67" t="n">
        <v>-51201</v>
      </c>
      <c r="E11" s="67" t="n">
        <v>-33303</v>
      </c>
      <c r="F11" s="15" t="n">
        <v>296319</v>
      </c>
    </row>
    <row r="12" ht="16" customHeight="1">
      <c r="A12" s="3" t="inlineStr">
        <is>
          <t>Q3 2024</t>
        </is>
      </c>
      <c r="B12" s="11" t="n">
        <v>296319</v>
      </c>
      <c r="C12" s="11" t="n">
        <v>1862</v>
      </c>
      <c r="D12" s="66" t="n">
        <v>-49715</v>
      </c>
      <c r="E12" s="66" t="n">
        <v>-3384</v>
      </c>
      <c r="F12" s="11" t="n">
        <v>250259</v>
      </c>
    </row>
    <row r="13" ht="16" customHeight="1">
      <c r="A13" s="5" t="inlineStr">
        <is>
          <t>Q4 2024</t>
        </is>
      </c>
      <c r="B13" s="15" t="n">
        <v>250259</v>
      </c>
      <c r="C13" s="15" t="n">
        <v>0</v>
      </c>
      <c r="D13" s="67" t="n">
        <v>-49229</v>
      </c>
      <c r="E13" s="67" t="n">
        <v>0</v>
      </c>
      <c r="F13" s="15" t="n">
        <v>207428</v>
      </c>
    </row>
    <row r="14" ht="18" customHeight="1">
      <c r="A14" s="21" t="inlineStr">
        <is>
          <t>FY 2024 total</t>
        </is>
      </c>
      <c r="B14" s="22" t="n">
        <v>274459</v>
      </c>
      <c r="C14" s="22" t="n">
        <v>161022</v>
      </c>
      <c r="D14" s="68" t="n">
        <v>-195993</v>
      </c>
      <c r="E14" s="68" t="n">
        <v>-42542</v>
      </c>
      <c r="F14" s="22" t="n">
        <v>207428</v>
      </c>
    </row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</sheetData>
  <mergeCells count="3">
    <mergeCell ref="A2:F2"/>
    <mergeCell ref="A1:E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2026-04-23T00:51:03Z</dcterms:created>
  <dcterms:modified xmlns:dcterms="http://purl.org/dc/terms/" xmlns:xsi="http://www.w3.org/2001/XMLSchema-instance" xsi:type="dcterms:W3CDTF">2026-04-27T04:10:53Z</dcterms:modified>
</cp:coreProperties>
</file>